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🏠 Inicio" state="visible" r:id="rId4"/>
    <sheet sheetId="2" name="📈 Panel" state="visible" r:id="rId5"/>
    <sheet sheetId="3" name="🥚 Producción" state="visible" r:id="rId6"/>
    <sheet sheetId="4" name="🌽 Alimento" state="visible" r:id="rId7"/>
    <sheet sheetId="5" name="💰 Costos y ganancia" state="visible" r:id="rId8"/>
    <sheet sheetId="6" name="🔮 Simulador" state="visible" r:id="rId9"/>
    <sheet sheetId="7" name="🐣 Levante" state="visible" r:id="rId10"/>
    <sheet sheetId="8" name="📐 Espacio y equipos" state="visible" r:id="rId11"/>
    <sheet sheetId="9" name="💧 Agua" state="visible" r:id="rId12"/>
    <sheet sheetId="10" name="💊 Medicamento en agua" state="visible" r:id="rId13"/>
    <sheet sheetId="11" name="⚖️ Mezcla de alimento" state="visible" r:id="rId14"/>
    <sheet sheetId="12" name="💡 Luz" state="visible" r:id="rId15"/>
    <sheet sheetId="13" name="📉 Mortalidad" state="visible" r:id="rId16"/>
    <sheet sheetId="14" name="📅 Proyección del lote" state="visible" r:id="rId17"/>
    <sheet sheetId="15" name="🔠 Clasificación del huevo" state="visible" r:id="rId18"/>
    <sheet sheetId="16" name="🔁 Conversiones" state="visible" r:id="rId19"/>
    <sheet sheetId="17" name="🏦 Inversión y retorno" state="visible" r:id="rId20"/>
    <sheet sheetId="18" name="🐔 Gallina de descarte" state="visible" r:id="rId21"/>
  </sheets>
  <calcPr calcId="171027" fullCalcOnLoad="1"/>
</workbook>
</file>

<file path=xl/sharedStrings.xml><?xml version="1.0" encoding="utf-8"?>
<sst xmlns="http://schemas.openxmlformats.org/spreadsheetml/2006/main" count="480" uniqueCount="312">
  <si>
    <t>Calculadora RM para avicultores</t>
  </si>
  <si>
    <t>Haz en segundos las cuentas de tu galpón de gallinas ponedoras</t>
  </si>
  <si>
    <t>1️⃣ Escribe en las celdas crema   ·   2️⃣ Mira los resultados en gris   ·   3️⃣ Revisa el Panel</t>
  </si>
  <si>
    <t>✏️ PERSONALIZA TU GRANJA</t>
  </si>
  <si>
    <t>Nombre de tu granja</t>
  </si>
  <si>
    <t>Mi granja</t>
  </si>
  <si>
    <t/>
  </si>
  <si>
    <t>Tu nombre</t>
  </si>
  <si>
    <t>Moneda</t>
  </si>
  <si>
    <t>COP $</t>
  </si>
  <si>
    <t>Hojas de la calculadora</t>
  </si>
  <si>
    <t>📈 Panel</t>
  </si>
  <si>
    <t>Tablero de indicadores y diagnóstico</t>
  </si>
  <si>
    <t>🥚 Producción</t>
  </si>
  <si>
    <t>Postura, huevos y cubetas</t>
  </si>
  <si>
    <t>🌽 Alimento</t>
  </si>
  <si>
    <t>Consumo, conversión y costos del alimento</t>
  </si>
  <si>
    <t>💰 Costos y ganancia</t>
  </si>
  <si>
    <t>Ingresos, costos y punto de equilibrio</t>
  </si>
  <si>
    <t>🔮 Simulador</t>
  </si>
  <si>
    <t>Sensibilidad de precios y postura</t>
  </si>
  <si>
    <t>🐣 Levante</t>
  </si>
  <si>
    <t>Costo de crianza de pollitas</t>
  </si>
  <si>
    <t>📐 Espacio y equipos</t>
  </si>
  <si>
    <t>Capacidad y equipos del galpón</t>
  </si>
  <si>
    <t>💧 Agua</t>
  </si>
  <si>
    <t>Consumo y reserva de agua</t>
  </si>
  <si>
    <t>💊 Medicamento en agua</t>
  </si>
  <si>
    <t>Dosis de producto en agua</t>
  </si>
  <si>
    <t>⚖️ Mezcla de alimento</t>
  </si>
  <si>
    <t>Mezclas de ingredientes</t>
  </si>
  <si>
    <t>💡 Luz</t>
  </si>
  <si>
    <t>Luz artificial y costo</t>
  </si>
  <si>
    <t>📉 Mortalidad</t>
  </si>
  <si>
    <t>Mortalidad y viabilidad</t>
  </si>
  <si>
    <t>📅 Proyección del lote</t>
  </si>
  <si>
    <t>Producción e ingresos del ciclo</t>
  </si>
  <si>
    <t>🔠 Clasificación del huevo</t>
  </si>
  <si>
    <t>Rangos por peso e ingresos por categoría</t>
  </si>
  <si>
    <t>🔁 Conversiones</t>
  </si>
  <si>
    <t>Conversiones de unidades</t>
  </si>
  <si>
    <t>🏦 Inversión y retorno</t>
  </si>
  <si>
    <t>Inversión y recuperación</t>
  </si>
  <si>
    <t>🐔 Gallina de descarte</t>
  </si>
  <si>
    <t>Ingreso por gallinas de descarte</t>
  </si>
  <si>
    <t>Los valores de referencia son orientativos. Ajústalos a la guía de tu línea genética y consulta a tu veterinario para vacunas y medicamentos.</t>
  </si>
  <si>
    <t>Versión v1 · octubre 2026</t>
  </si>
  <si>
    <t>Panel de tu granja</t>
  </si>
  <si>
    <t>⟵ Volver al inicio</t>
  </si>
  <si>
    <t>Mira indicadores clave y recomendaciones orientativas.</t>
  </si>
  <si>
    <t>TUS INDICADORES</t>
  </si>
  <si>
    <t>Postura</t>
  </si>
  <si>
    <t>Conversión kg alimento/kg huevo</t>
  </si>
  <si>
    <t>Costo por huevo</t>
  </si>
  <si>
    <t>Costo por cubeta</t>
  </si>
  <si>
    <t>Ganancia del mes</t>
  </si>
  <si>
    <t>Precio mínimo de la cubeta</t>
  </si>
  <si>
    <t>Costo por pollita lista</t>
  </si>
  <si>
    <t>Mortalidad acumulada</t>
  </si>
  <si>
    <t>Huevos del ciclo</t>
  </si>
  <si>
    <t>🧠 DIAGNÓSTICO RM</t>
  </si>
  <si>
    <t>Diagnóstico orientativo con referencias generales. Para salud y vacunas, consulta a tu veterinario.</t>
  </si>
  <si>
    <t>Referencias generales; compáralas con la guía de tu línea.</t>
  </si>
  <si>
    <t>Calculadora RM · RM Agroinversiones · Cursos online de gallinas ponedoras · WhatsApp +57 322 952 1224</t>
  </si>
  <si>
    <t>Producción</t>
  </si>
  <si>
    <t>Calcula postura, cubetas y masa de huevo.</t>
  </si>
  <si>
    <t>✏️ TUS DATOS</t>
  </si>
  <si>
    <t>Gallinas vivas hoy</t>
  </si>
  <si>
    <t>gallinas</t>
  </si>
  <si>
    <t>Huevos recogidos hoy</t>
  </si>
  <si>
    <t>huevos</t>
  </si>
  <si>
    <t>Huevos por cubeta</t>
  </si>
  <si>
    <t>Peso promedio del huevo en gramos</t>
  </si>
  <si>
    <t>g</t>
  </si>
  <si>
    <t>📊 RESULTADOS</t>
  </si>
  <si>
    <t>% de postura</t>
  </si>
  <si>
    <t>Cubetas del día</t>
  </si>
  <si>
    <t>cubetas</t>
  </si>
  <si>
    <t>Huevos sueltos (sobrantes)</t>
  </si>
  <si>
    <t>Masa de huevo del día en kg</t>
  </si>
  <si>
    <t>kg</t>
  </si>
  <si>
    <t>Huevos al mes (30 días)</t>
  </si>
  <si>
    <t>Cubetas al mes</t>
  </si>
  <si>
    <t>Alimento</t>
  </si>
  <si>
    <t>Calcula consumo, conversión y costo del alimento.</t>
  </si>
  <si>
    <t>Gallinas</t>
  </si>
  <si>
    <t>Consumo por gallina al día en gramos</t>
  </si>
  <si>
    <t>Referencia: ajústalo a la guía de tu línea genética</t>
  </si>
  <si>
    <t>Kilos por bulto</t>
  </si>
  <si>
    <t>Precio del bulto</t>
  </si>
  <si>
    <t>Huevos al día</t>
  </si>
  <si>
    <t>Peso promedio del huevo en g</t>
  </si>
  <si>
    <t>Kg de alimento al día</t>
  </si>
  <si>
    <t>Bultos al día</t>
  </si>
  <si>
    <t>bultos</t>
  </si>
  <si>
    <t>Bultos a la semana</t>
  </si>
  <si>
    <t>Bultos al mes (30 días)</t>
  </si>
  <si>
    <t>Costo del alimento al día</t>
  </si>
  <si>
    <t>Costo del alimento al mes</t>
  </si>
  <si>
    <t>Conversión: kg alimento por kg huevo</t>
  </si>
  <si>
    <t>kg/kg</t>
  </si>
  <si>
    <t>Kg de alimento por docena</t>
  </si>
  <si>
    <t>Costo de alimento por huevo</t>
  </si>
  <si>
    <t>Costos y ganancia</t>
  </si>
  <si>
    <t>Estima ingresos, costos y punto de equilibrio.</t>
  </si>
  <si>
    <t>% de postura promedio</t>
  </si>
  <si>
    <t>Precio de venta por cubeta de 30</t>
  </si>
  <si>
    <t>Puedes copiarlo de la hoja Alimento</t>
  </si>
  <si>
    <t>Mano de obra al mes</t>
  </si>
  <si>
    <t>Vacunas, vitaminas y sanidad al mes</t>
  </si>
  <si>
    <t>Energía, agua y transporte al mes</t>
  </si>
  <si>
    <t>Otros costos al mes</t>
  </si>
  <si>
    <t>Pérdida por huevos rotos o de descarte</t>
  </si>
  <si>
    <t>Huevos vendibles al mes</t>
  </si>
  <si>
    <t>Cubetas vendibles al mes</t>
  </si>
  <si>
    <t>Ingresos al mes</t>
  </si>
  <si>
    <t>Costos totales al mes</t>
  </si>
  <si>
    <t>Ganancia (o pérdida) al mes</t>
  </si>
  <si>
    <t>Precio mínimo de la cubeta para no perder</t>
  </si>
  <si>
    <t>Margen por cubeta</t>
  </si>
  <si>
    <t>Ganancia por gallina al mes</t>
  </si>
  <si>
    <t>% de postura mínimo para no perder</t>
  </si>
  <si>
    <t>🔮 ¿Qué pasa si…?</t>
  </si>
  <si>
    <t>Explora cómo cambian tus ganancias al variar precios y postura.</t>
  </si>
  <si>
    <t>GANANCIA DEL MES · ALIMENTO / CUBETA</t>
  </si>
  <si>
    <t>Bulto ↓ / Cubeta →</t>
  </si>
  <si>
    <t>% postura</t>
  </si>
  <si>
    <t>Levante (pollita)</t>
  </si>
  <si>
    <t>Calcula el costo de criar pollitas hasta postura.</t>
  </si>
  <si>
    <t>Número de pollitas</t>
  </si>
  <si>
    <t>pollitas</t>
  </si>
  <si>
    <t>Precio de la pollita de un día</t>
  </si>
  <si>
    <t>Alimento acumulado por pollita hasta la semana de traslado en kg</t>
  </si>
  <si>
    <t>Precio del kilo de alimento de levante</t>
  </si>
  <si>
    <t>Vacunas y sanidad por pollita</t>
  </si>
  <si>
    <t>Otros costos por pollita</t>
  </si>
  <si>
    <t>Mortalidad esperada en el levante</t>
  </si>
  <si>
    <t>Línea genética</t>
  </si>
  <si>
    <t>Babcock Brown</t>
  </si>
  <si>
    <t>Pollitas que llegan a postura</t>
  </si>
  <si>
    <t>Alimento total del levante en kg</t>
  </si>
  <si>
    <t>Bultos de 40 kg</t>
  </si>
  <si>
    <t>Costo total del levante</t>
  </si>
  <si>
    <t>Espacio y equipos</t>
  </si>
  <si>
    <t>Calcula capacidad y equipos para tu galpón.</t>
  </si>
  <si>
    <t>Largo del galpón en metros</t>
  </si>
  <si>
    <t>m</t>
  </si>
  <si>
    <t>Ancho en metros</t>
  </si>
  <si>
    <t>Aves por metro cuadrado en piso</t>
  </si>
  <si>
    <t>Gallinas a alojar</t>
  </si>
  <si>
    <t>Cm de comedero lineal por gallina</t>
  </si>
  <si>
    <t>Gallinas por comedero de tolva</t>
  </si>
  <si>
    <t>Gallinas por niple</t>
  </si>
  <si>
    <t>Gallinas por bebedero de campana</t>
  </si>
  <si>
    <t>Gallinas por nido</t>
  </si>
  <si>
    <t>Sistema</t>
  </si>
  <si>
    <t>Piso</t>
  </si>
  <si>
    <t>Centímetros cuadrados por gallina en jaula</t>
  </si>
  <si>
    <t>Área en m²</t>
  </si>
  <si>
    <t>m²</t>
  </si>
  <si>
    <t>Capacidad máxima en piso (gallinas)</t>
  </si>
  <si>
    <t>¿Cabe el lote?</t>
  </si>
  <si>
    <t>Metros de comedero lineal</t>
  </si>
  <si>
    <t>Comederos de tolva</t>
  </si>
  <si>
    <t>unidades</t>
  </si>
  <si>
    <t>Niples</t>
  </si>
  <si>
    <t>Bebederos de campana</t>
  </si>
  <si>
    <t>Nidos</t>
  </si>
  <si>
    <t>Agua</t>
  </si>
  <si>
    <t>Estima el consumo y la reserva de agua.</t>
  </si>
  <si>
    <t>Consumo de alimento por gallina en g</t>
  </si>
  <si>
    <t>Litros de agua por kg de alimento</t>
  </si>
  <si>
    <t>Referencia: con calor sube a 3 o más</t>
  </si>
  <si>
    <t>Días de reserva que quieres en el tanque</t>
  </si>
  <si>
    <t>días</t>
  </si>
  <si>
    <t>Litros de agua al día</t>
  </si>
  <si>
    <t>L</t>
  </si>
  <si>
    <t>Litros por gallina al día</t>
  </si>
  <si>
    <t>Tamaño mínimo del tanque en litros</t>
  </si>
  <si>
    <t>Medicamento en agua</t>
  </si>
  <si>
    <t>Calcula el producto según la etiqueta o indicación veterinaria.</t>
  </si>
  <si>
    <t>Litros de agua que toman al día</t>
  </si>
  <si>
    <t>Dosis de la etiqueta en ml o g por litro</t>
  </si>
  <si>
    <t>ml o g/L</t>
  </si>
  <si>
    <t>Días de tratamiento</t>
  </si>
  <si>
    <t>Contenido del frasco o sobre en ml o g</t>
  </si>
  <si>
    <t>ml o g</t>
  </si>
  <si>
    <t>Producto por día</t>
  </si>
  <si>
    <t>Producto para todo el tratamiento</t>
  </si>
  <si>
    <t>Frascos o sobres necesarios</t>
  </si>
  <si>
    <t>DOSIS POR PESO</t>
  </si>
  <si>
    <t>Dosis en mg por kg de peso</t>
  </si>
  <si>
    <t>mg/kg</t>
  </si>
  <si>
    <t>Peso promedio de la gallina en kg</t>
  </si>
  <si>
    <t>Concentración del producto en mg por ml o g</t>
  </si>
  <si>
    <t>mg/ml o g</t>
  </si>
  <si>
    <t>RESULTADOS POR PESO</t>
  </si>
  <si>
    <t>mg al día para el lote</t>
  </si>
  <si>
    <t>mg</t>
  </si>
  <si>
    <t>ml o g de producto al día</t>
  </si>
  <si>
    <t>ml o g por litro de agua</t>
  </si>
  <si>
    <t>Mezcla (cuadrado de Pearson)</t>
  </si>
  <si>
    <t>Calcula una mezcla aproximada de dos ingredientes.</t>
  </si>
  <si>
    <t>Proteína del ingrediente A en %</t>
  </si>
  <si>
    <t>ej. maíz</t>
  </si>
  <si>
    <t>Proteína del ingrediente B en %</t>
  </si>
  <si>
    <t>ej. torta de soya</t>
  </si>
  <si>
    <t>Proteína que quieres en la mezcla en %</t>
  </si>
  <si>
    <t>%</t>
  </si>
  <si>
    <t>Kg de mezcla a preparar</t>
  </si>
  <si>
    <t>Partes de A</t>
  </si>
  <si>
    <t>partes</t>
  </si>
  <si>
    <t>Partes de B</t>
  </si>
  <si>
    <t>% de A</t>
  </si>
  <si>
    <t>% de B</t>
  </si>
  <si>
    <t>Kg de A</t>
  </si>
  <si>
    <t>Kg de B</t>
  </si>
  <si>
    <t>Validación</t>
  </si>
  <si>
    <t>Luz</t>
  </si>
  <si>
    <t>Calcula horas de luz artificial y su costo.</t>
  </si>
  <si>
    <t>Horas de luz total que quieres</t>
  </si>
  <si>
    <t>Referencia para postura</t>
  </si>
  <si>
    <t>Horas de luz natural del día</t>
  </si>
  <si>
    <t>horas</t>
  </si>
  <si>
    <t>Bombillos</t>
  </si>
  <si>
    <t>Vatios por bombillo</t>
  </si>
  <si>
    <t>W</t>
  </si>
  <si>
    <t>Precio del kWh</t>
  </si>
  <si>
    <t>Horas de luz artificial al día</t>
  </si>
  <si>
    <t>h</t>
  </si>
  <si>
    <t>kWh al día</t>
  </si>
  <si>
    <t>kWh</t>
  </si>
  <si>
    <t>Costo de luz al día</t>
  </si>
  <si>
    <t>Costo al mes</t>
  </si>
  <si>
    <t>Mortalidad</t>
  </si>
  <si>
    <t>Controla mortalidad semanal y acumulada.</t>
  </si>
  <si>
    <t>Gallinas al inicio</t>
  </si>
  <si>
    <t>Muertes de la semana</t>
  </si>
  <si>
    <t>Muertes acumuladas del lote</t>
  </si>
  <si>
    <t>% mortalidad de la semana</t>
  </si>
  <si>
    <t>% mortalidad acumulada</t>
  </si>
  <si>
    <t>Gallinas vivas</t>
  </si>
  <si>
    <t>Viabilidad (%)</t>
  </si>
  <si>
    <t>Proyección del lote</t>
  </si>
  <si>
    <t>Proyecta producción e ingresos de un ciclo.</t>
  </si>
  <si>
    <t>Gallinas al iniciar postura</t>
  </si>
  <si>
    <t>Semanas de postura</t>
  </si>
  <si>
    <t>semanas</t>
  </si>
  <si>
    <t>% de postura promedio del ciclo</t>
  </si>
  <si>
    <t>Mortalidad total esperada en el ciclo</t>
  </si>
  <si>
    <t>Precio por cubeta</t>
  </si>
  <si>
    <t>Gallinas promedio</t>
  </si>
  <si>
    <t>Huevos totales del ciclo</t>
  </si>
  <si>
    <t>Cubetas</t>
  </si>
  <si>
    <t>Ingresos del ciclo</t>
  </si>
  <si>
    <t>Huevos por gallina inicial</t>
  </si>
  <si>
    <t>Clasificación del huevo</t>
  </si>
  <si>
    <t>Clasifica por peso y estima proporciones e ingresos.</t>
  </si>
  <si>
    <t>Categoría</t>
  </si>
  <si>
    <t>Huevos del día</t>
  </si>
  <si>
    <t>Rango de referencia</t>
  </si>
  <si>
    <t>Ingreso del día</t>
  </si>
  <si>
    <t>Jumbo</t>
  </si>
  <si>
    <t>≥ 78 g</t>
  </si>
  <si>
    <t>AAA</t>
  </si>
  <si>
    <t>67 a 77,9 g</t>
  </si>
  <si>
    <t>AA</t>
  </si>
  <si>
    <t>60 a 66,9 g</t>
  </si>
  <si>
    <t>A</t>
  </si>
  <si>
    <t>53 a 59,9 g</t>
  </si>
  <si>
    <t>B</t>
  </si>
  <si>
    <t>46 a 52,9 g</t>
  </si>
  <si>
    <t>C</t>
  </si>
  <si>
    <t>&lt; 46 g</t>
  </si>
  <si>
    <t>Total de huevos</t>
  </si>
  <si>
    <t>Referencia NTC 1240; verifica la norma vigente</t>
  </si>
  <si>
    <t>Ingreso total del día</t>
  </si>
  <si>
    <t>Precio promedio por huevo</t>
  </si>
  <si>
    <t>Peso de un huevo en g</t>
  </si>
  <si>
    <t>Conversiones</t>
  </si>
  <si>
    <t>Convierte medidas comunes de producción.</t>
  </si>
  <si>
    <t>Huevos</t>
  </si>
  <si>
    <t>huevos → cubetas (30)</t>
  </si>
  <si>
    <t>Resultado</t>
  </si>
  <si>
    <t>cubetas → huevos (30)</t>
  </si>
  <si>
    <t>huevos → docenas</t>
  </si>
  <si>
    <t>Kg</t>
  </si>
  <si>
    <t>kg → libras (1 libra = 0,5 kg)</t>
  </si>
  <si>
    <t>kg → arrobas (1 arroba = 12,5 kg)</t>
  </si>
  <si>
    <t>kg → bultos de 40 kg</t>
  </si>
  <si>
    <t>Gramos por gallina al día</t>
  </si>
  <si>
    <t>g → kg por cada 1.000 gallinas</t>
  </si>
  <si>
    <t>Inversión y retorno</t>
  </si>
  <si>
    <t>Calcula inversión inicial y tiempo de recuperación.</t>
  </si>
  <si>
    <t>Galpón y adecuaciones</t>
  </si>
  <si>
    <t>Equipos (comederos, bebederos, nidos)</t>
  </si>
  <si>
    <t>Pollitas o gallinas</t>
  </si>
  <si>
    <t>costo por pollita lista</t>
  </si>
  <si>
    <t>Capital de trabajo inicial</t>
  </si>
  <si>
    <t>Ganancia mensual esperada</t>
  </si>
  <si>
    <t>Inversión total</t>
  </si>
  <si>
    <t>Meses para recuperar la inversión</t>
  </si>
  <si>
    <t>meses</t>
  </si>
  <si>
    <t>Rentabilidad anual sobre la inversión (%)</t>
  </si>
  <si>
    <t>Gallina de descarte</t>
  </si>
  <si>
    <t>Estima el ingreso por venta de gallinas al final del ciclo.</t>
  </si>
  <si>
    <t>Gallinas para vender al final</t>
  </si>
  <si>
    <t>Peso promedio en kg</t>
  </si>
  <si>
    <t>Precio por kilo en pie</t>
  </si>
  <si>
    <t>Kilos totales</t>
  </si>
  <si>
    <t>Ingreso por descarte</t>
  </si>
  <si>
    <t>Ingreso por gallina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</si>
</sst>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19" x14ac:knownFonts="1">
    <font>
      <color theme="1"/>
      <family val="2"/>
      <scheme val="minor"/>
      <sz val="11"/>
      <name val="Calibri"/>
    </font>
    <font>
      <b/>
      <color rgb="1C1C1C"/>
      <sz val="18"/>
      <name val="Arial Black"/>
    </font>
    <font>
      <i/>
      <color rgb="6B6B6B"/>
      <sz val="12"/>
      <name val="Arial"/>
    </font>
    <font>
      <color rgb="6B6B6B"/>
      <sz val="10"/>
      <name val="Arial"/>
    </font>
    <font>
      <name val="Arial"/>
    </font>
    <font>
      <b/>
      <name val="Arial"/>
    </font>
    <font>
      <b/>
      <color rgb="FFFFFF"/>
      <name val="Arial"/>
    </font>
    <font>
      <color rgb="1C1C1C"/>
      <sz val="11"/>
      <name val="Arial"/>
    </font>
    <font>
      <u/>
      <color rgb="1C1C1C"/>
      <name val="Arial"/>
    </font>
    <font>
      <color rgb="6B6B6B"/>
      <name val="Arial"/>
    </font>
    <font>
      <i/>
      <color rgb="6B6B6B"/>
      <name val="Arial"/>
    </font>
    <font>
      <b/>
      <u/>
      <color rgb="1C1C1C"/>
      <sz val="10"/>
      <name val="Arial"/>
    </font>
    <font>
      <b/>
      <color rgb="FCC808"/>
      <name val="Arial"/>
    </font>
    <font>
      <b/>
      <sz val="20"/>
      <name val="Arial"/>
    </font>
    <font>
      <color rgb="6B6B6B"/>
      <sz val="9"/>
      <name val="Arial"/>
    </font>
    <font>
      <b/>
      <color rgb="1C1C1C"/>
      <name val="Arial"/>
    </font>
    <font>
      <b/>
      <color rgb="1C1C1C"/>
      <sz val="16"/>
      <name val="Arial"/>
    </font>
    <font>
      <b/>
      <color rgb="1C1C1C"/>
      <sz val="12"/>
      <name val="Arial"/>
    </font>
    <font>
      <b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CC808"/>
      </patternFill>
    </fill>
    <fill>
      <patternFill patternType="solid">
        <fgColor rgb="1C1C1C"/>
      </patternFill>
    </fill>
    <fill>
      <patternFill patternType="solid">
        <fgColor rgb="FFF8E1"/>
      </patternFill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>
        <color rgb="FCC808"/>
      </left>
      <right style="thin">
        <color rgb="FCC808"/>
      </right>
      <top style="thin">
        <color rgb="FCC808"/>
      </top>
      <bottom style="thin">
        <color rgb="FCC808"/>
      </bottom>
      <diagonal/>
    </border>
    <border>
      <left style="thick">
        <color rgb="FCC808"/>
      </left>
      <right style="thick">
        <color rgb="FCC808"/>
      </right>
      <top style="thick">
        <color rgb="FCC808"/>
      </top>
      <bottom style="thick">
        <color rgb="FCC80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2" borderId="0" xfId="0" applyFont="1" applyFill="1"/>
    <xf numFmtId="0" fontId="5" fillId="0" borderId="0" xfId="0" applyFont="1"/>
    <xf numFmtId="0" fontId="6" fillId="3" borderId="0" xfId="0" applyFont="1" applyFill="1"/>
    <xf numFmtId="0" fontId="4" fillId="0" borderId="0" xfId="0" applyFont="1"/>
    <xf numFmtId="0" fontId="7" fillId="4" borderId="1" xfId="0" applyFont="1" applyFill="1" applyBorder="1" applyProtection="1">
      <protection locked="0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164" fontId="13" fillId="5" borderId="0" xfId="0" applyNumberFormat="1" applyFont="1" applyFill="1"/>
    <xf numFmtId="2" fontId="13" fillId="5" borderId="0" xfId="0" applyNumberFormat="1" applyFont="1" applyFill="1"/>
    <xf numFmtId="4" fontId="13" fillId="5" borderId="0" xfId="0" applyNumberFormat="1" applyFont="1" applyFill="1"/>
    <xf numFmtId="3" fontId="13" fillId="5" borderId="0" xfId="0" applyNumberFormat="1" applyFont="1" applyFill="1"/>
    <xf numFmtId="0" fontId="4" fillId="0" borderId="0" xfId="0" applyFont="1" applyAlignment="1">
      <alignment wrapText="1"/>
    </xf>
    <xf numFmtId="0" fontId="10" fillId="0" borderId="0" xfId="0" applyFont="1"/>
    <xf numFmtId="0" fontId="14" fillId="0" borderId="0" xfId="0" applyFont="1"/>
    <xf numFmtId="0" fontId="15" fillId="2" borderId="0" xfId="0" applyFont="1" applyFill="1"/>
    <xf numFmtId="3" fontId="7" fillId="4" borderId="1" xfId="0" applyNumberFormat="1" applyFont="1" applyFill="1" applyBorder="1" applyProtection="1">
      <protection locked="0"/>
    </xf>
    <xf numFmtId="164" fontId="16" fillId="5" borderId="2" xfId="0" applyNumberFormat="1" applyFont="1" applyFill="1" applyBorder="1" applyProtection="1"/>
    <xf numFmtId="165" fontId="17" fillId="5" borderId="0" xfId="0" applyNumberFormat="1" applyFont="1" applyFill="1" applyProtection="1"/>
    <xf numFmtId="3" fontId="17" fillId="5" borderId="0" xfId="0" applyNumberFormat="1" applyFont="1" applyFill="1" applyProtection="1"/>
    <xf numFmtId="3" fontId="16" fillId="5" borderId="2" xfId="0" applyNumberFormat="1" applyFont="1" applyFill="1" applyBorder="1" applyProtection="1"/>
    <xf numFmtId="4" fontId="17" fillId="5" borderId="0" xfId="0" applyNumberFormat="1" applyFont="1" applyFill="1" applyProtection="1"/>
    <xf numFmtId="164" fontId="7" fillId="4" borderId="1" xfId="0" applyNumberFormat="1" applyFont="1" applyFill="1" applyBorder="1" applyProtection="1">
      <protection locked="0"/>
    </xf>
    <xf numFmtId="164" fontId="17" fillId="5" borderId="0" xfId="0" applyNumberFormat="1" applyFont="1" applyFill="1" applyProtection="1"/>
    <xf numFmtId="3" fontId="4" fillId="0" borderId="0" xfId="0" applyNumberFormat="1" applyFont="1"/>
    <xf numFmtId="9" fontId="4" fillId="0" borderId="0" xfId="0" applyNumberFormat="1" applyFont="1"/>
    <xf numFmtId="4" fontId="7" fillId="4" borderId="1" xfId="0" applyNumberFormat="1" applyFont="1" applyFill="1" applyBorder="1" applyProtection="1">
      <protection locked="0"/>
    </xf>
    <xf numFmtId="165" fontId="16" fillId="5" borderId="2" xfId="0" applyNumberFormat="1" applyFont="1" applyFill="1" applyBorder="1" applyProtection="1"/>
    <xf numFmtId="165" fontId="7" fillId="4" borderId="1" xfId="0" applyNumberFormat="1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164" fontId="4" fillId="5" borderId="0" xfId="0" applyNumberFormat="1" applyFont="1" applyFill="1"/>
    <xf numFmtId="3" fontId="4" fillId="5" borderId="0" xfId="0" applyNumberFormat="1" applyFont="1" applyFill="1"/>
    <xf numFmtId="0" fontId="18" fillId="0" borderId="2" xfId="0" applyFont="1" applyBorder="1"/>
    <xf numFmtId="0" fontId="3" fillId="0" borderId="0" xfId="0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04875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128200; Panel&apos;!A1" TargetMode="External"/><Relationship Id="rId2" Type="http://schemas.openxmlformats.org/officeDocument/2006/relationships/hyperlink" Target="#&apos;&#129370; Producci&#243;n&apos;!A1" TargetMode="External"/><Relationship Id="rId3" Type="http://schemas.openxmlformats.org/officeDocument/2006/relationships/hyperlink" Target="#&apos;&#127805; Alimento&apos;!A1" TargetMode="External"/><Relationship Id="rId4" Type="http://schemas.openxmlformats.org/officeDocument/2006/relationships/hyperlink" Target="#&apos;&#128176; Costos y ganancia&apos;!A1" TargetMode="External"/><Relationship Id="rId5" Type="http://schemas.openxmlformats.org/officeDocument/2006/relationships/hyperlink" Target="#&apos;&#128302; Simulador&apos;!A1" TargetMode="External"/><Relationship Id="rId6" Type="http://schemas.openxmlformats.org/officeDocument/2006/relationships/hyperlink" Target="#&apos;&#128035; Levante&apos;!A1" TargetMode="External"/><Relationship Id="rId7" Type="http://schemas.openxmlformats.org/officeDocument/2006/relationships/hyperlink" Target="#&apos;&#128208; Espacio y equipos&apos;!A1" TargetMode="External"/><Relationship Id="rId8" Type="http://schemas.openxmlformats.org/officeDocument/2006/relationships/hyperlink" Target="#&apos;&#128167; Agua&apos;!A1" TargetMode="External"/><Relationship Id="rId9" Type="http://schemas.openxmlformats.org/officeDocument/2006/relationships/hyperlink" Target="#&apos;&#128138; Medicamento en agua&apos;!A1" TargetMode="External"/><Relationship Id="rId10" Type="http://schemas.openxmlformats.org/officeDocument/2006/relationships/hyperlink" Target="#&apos;&#9878;&#65039; Mezcla de alimento&apos;!A1" TargetMode="External"/><Relationship Id="rId11" Type="http://schemas.openxmlformats.org/officeDocument/2006/relationships/hyperlink" Target="#&apos;&#128161; Luz&apos;!A1" TargetMode="External"/><Relationship Id="rId12" Type="http://schemas.openxmlformats.org/officeDocument/2006/relationships/hyperlink" Target="#&apos;&#128201; Mortalidad&apos;!A1" TargetMode="External"/><Relationship Id="rId13" Type="http://schemas.openxmlformats.org/officeDocument/2006/relationships/hyperlink" Target="#&apos;&#128197; Proyecci&#243;n del lote&apos;!A1" TargetMode="External"/><Relationship Id="rId14" Type="http://schemas.openxmlformats.org/officeDocument/2006/relationships/hyperlink" Target="#&apos;&#128288; Clasificaci&#243;n del huevo&apos;!A1" TargetMode="External"/><Relationship Id="rId15" Type="http://schemas.openxmlformats.org/officeDocument/2006/relationships/hyperlink" Target="#&apos;&#128257; Conversiones&apos;!A1" TargetMode="External"/><Relationship Id="rId16" Type="http://schemas.openxmlformats.org/officeDocument/2006/relationships/hyperlink" Target="#&apos;&#127974; Inversi&#243;n y retorno&apos;!A1" TargetMode="External"/><Relationship Id="rId17" Type="http://schemas.openxmlformats.org/officeDocument/2006/relationships/hyperlink" Target="#&apos;&#128020; Gallina de descarte&apos;!A1" TargetMode="External"/><Relationship Id="rId18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127968; Inicio&apos;!A1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CC808"/>
    <pageSetUpPr fitToPage="1"/>
  </sheetPr>
  <dimension ref="A1:C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3" x14ac:dyDescent="0.25">
      <c r="B1" s="1" t="s">
        <v>0</v>
      </c>
      <c r="C1" s="1"/>
    </row>
    <row r="2" ht="25" customHeight="1" spans="1:3" x14ac:dyDescent="0.25">
      <c r="A2" s="2" t="s">
        <v>1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5" t="s">
        <v>2</v>
      </c>
      <c r="B4" s="5"/>
      <c r="C4" s="5"/>
    </row>
    <row r="5" ht="22" customHeight="1" spans="1:3" x14ac:dyDescent="0.25">
      <c r="A5" s="6" t="s">
        <v>3</v>
      </c>
      <c r="B5" s="6"/>
      <c r="C5" s="6"/>
    </row>
    <row r="6" ht="22" customHeight="1" spans="1:3" x14ac:dyDescent="0.25">
      <c r="A6" s="7" t="s">
        <v>4</v>
      </c>
      <c r="B6" s="8" t="s">
        <v>5</v>
      </c>
      <c r="C6" s="9" t="s">
        <v>6</v>
      </c>
    </row>
    <row r="7" ht="22" customHeight="1" spans="1:3" x14ac:dyDescent="0.25">
      <c r="A7" s="7" t="s">
        <v>7</v>
      </c>
      <c r="B7" s="8" t="s">
        <v>6</v>
      </c>
      <c r="C7" s="9" t="s">
        <v>6</v>
      </c>
    </row>
    <row r="8" ht="22" customHeight="1" spans="1:3" x14ac:dyDescent="0.25">
      <c r="A8" s="7" t="s">
        <v>8</v>
      </c>
      <c r="B8" s="8" t="s">
        <v>9</v>
      </c>
      <c r="C8" s="9" t="s">
        <v>6</v>
      </c>
    </row>
    <row r="9" ht="22" customHeight="1" spans="1:3" x14ac:dyDescent="0.25">
      <c r="A9" s="5" t="s">
        <v>10</v>
      </c>
      <c r="B9" s="5"/>
      <c r="C9" s="5"/>
    </row>
    <row r="10" spans="1:3" x14ac:dyDescent="0.25">
      <c r="A10" s="10" t="s">
        <v>11</v>
      </c>
      <c r="B10" s="11" t="s">
        <v>12</v>
      </c>
      <c r="C10" s="11"/>
    </row>
    <row r="11" spans="1:3" x14ac:dyDescent="0.25">
      <c r="A11" s="10" t="s">
        <v>13</v>
      </c>
      <c r="B11" s="11" t="s">
        <v>14</v>
      </c>
      <c r="C11" s="11"/>
    </row>
    <row r="12" spans="1:3" x14ac:dyDescent="0.25">
      <c r="A12" s="10" t="s">
        <v>15</v>
      </c>
      <c r="B12" s="11" t="s">
        <v>16</v>
      </c>
      <c r="C12" s="11"/>
    </row>
    <row r="13" spans="1:3" x14ac:dyDescent="0.25">
      <c r="A13" s="10" t="s">
        <v>17</v>
      </c>
      <c r="B13" s="11" t="s">
        <v>18</v>
      </c>
      <c r="C13" s="11"/>
    </row>
    <row r="14" spans="1:3" x14ac:dyDescent="0.25">
      <c r="A14" s="10" t="s">
        <v>19</v>
      </c>
      <c r="B14" s="11" t="s">
        <v>20</v>
      </c>
      <c r="C14" s="11"/>
    </row>
    <row r="15" spans="1:3" x14ac:dyDescent="0.25">
      <c r="A15" s="10" t="s">
        <v>21</v>
      </c>
      <c r="B15" s="11" t="s">
        <v>22</v>
      </c>
      <c r="C15" s="11"/>
    </row>
    <row r="16" spans="1:3" x14ac:dyDescent="0.25">
      <c r="A16" s="10" t="s">
        <v>23</v>
      </c>
      <c r="B16" s="11" t="s">
        <v>24</v>
      </c>
      <c r="C16" s="11"/>
    </row>
    <row r="17" spans="1:3" x14ac:dyDescent="0.25">
      <c r="A17" s="10" t="s">
        <v>25</v>
      </c>
      <c r="B17" s="11" t="s">
        <v>26</v>
      </c>
      <c r="C17" s="11"/>
    </row>
    <row r="18" spans="1:3" x14ac:dyDescent="0.25">
      <c r="A18" s="10" t="s">
        <v>27</v>
      </c>
      <c r="B18" s="11" t="s">
        <v>28</v>
      </c>
      <c r="C18" s="11"/>
    </row>
    <row r="19" spans="1:3" x14ac:dyDescent="0.25">
      <c r="A19" s="10" t="s">
        <v>29</v>
      </c>
      <c r="B19" s="11" t="s">
        <v>30</v>
      </c>
      <c r="C19" s="11"/>
    </row>
    <row r="20" spans="1:3" x14ac:dyDescent="0.25">
      <c r="A20" s="10" t="s">
        <v>31</v>
      </c>
      <c r="B20" s="11" t="s">
        <v>32</v>
      </c>
      <c r="C20" s="11"/>
    </row>
    <row r="21" spans="1:3" x14ac:dyDescent="0.25">
      <c r="A21" s="10" t="s">
        <v>33</v>
      </c>
      <c r="B21" s="11" t="s">
        <v>34</v>
      </c>
      <c r="C21" s="11"/>
    </row>
    <row r="22" spans="1:3" x14ac:dyDescent="0.25">
      <c r="A22" s="10" t="s">
        <v>35</v>
      </c>
      <c r="B22" s="11" t="s">
        <v>36</v>
      </c>
      <c r="C22" s="11"/>
    </row>
    <row r="23" spans="1:3" x14ac:dyDescent="0.25">
      <c r="A23" s="10" t="s">
        <v>37</v>
      </c>
      <c r="B23" s="11" t="s">
        <v>38</v>
      </c>
      <c r="C23" s="11"/>
    </row>
    <row r="24" spans="1:3" x14ac:dyDescent="0.25">
      <c r="A24" s="10" t="s">
        <v>39</v>
      </c>
      <c r="B24" s="11" t="s">
        <v>40</v>
      </c>
      <c r="C24" s="11"/>
    </row>
    <row r="25" spans="1:3" x14ac:dyDescent="0.25">
      <c r="A25" s="10" t="s">
        <v>41</v>
      </c>
      <c r="B25" s="11" t="s">
        <v>42</v>
      </c>
      <c r="C25" s="11"/>
    </row>
    <row r="26" spans="1:3" x14ac:dyDescent="0.25">
      <c r="A26" s="10" t="s">
        <v>43</v>
      </c>
      <c r="B26" s="11" t="s">
        <v>44</v>
      </c>
      <c r="C26" s="11"/>
    </row>
    <row r="27" spans="1:3" x14ac:dyDescent="0.25"/>
    <row r="28" ht="22" customHeight="1" spans="1:3" x14ac:dyDescent="0.25">
      <c r="A28" s="12" t="s">
        <v>45</v>
      </c>
      <c r="B28" s="12"/>
      <c r="C28" s="12"/>
    </row>
    <row r="29" ht="22" customHeight="1" spans="1:3" x14ac:dyDescent="0.25">
      <c r="A29" s="7" t="s">
        <v>46</v>
      </c>
    </row>
  </sheetData>
  <sheetProtection sheet="1"/>
  <mergeCells count="24">
    <mergeCell ref="B1:C1"/>
    <mergeCell ref="A2:B2"/>
    <mergeCell ref="A3:C3"/>
    <mergeCell ref="A4:C4"/>
    <mergeCell ref="A5:C5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8:C28"/>
  </mergeCells>
  <dataValidations count="2">
    <dataValidation type="decimal" operator="greaterThanOrEqual" showErrorMessage="1" errorTitle="Dato no válido" error="Escribe un número igual o mayor que cero." sqref="B6:B7">
      <formula1>0</formula1>
    </dataValidation>
    <dataValidation type="list" allowBlank="1" showErrorMessage="1" errorTitle="Dato no válido" error="Elige una opción de la lista." sqref="B8">
      <formula1>"COP $,USD US$,MXN $,PEN S/,VES Bs,BOB Bs,ARS $,CLP $,GTQ Q,DOP RD$,Otra"</formula1>
    </dataValidation>
  </dataValidations>
  <hyperlinks>
    <hyperlink ref="A10" r:id="rId1" location="#'📈 Panel'!A1"/>
    <hyperlink ref="A11" r:id="rId2" location="#'🥚 Producción'!A1"/>
    <hyperlink ref="A12" r:id="rId3" location="#'🌽 Alimento'!A1"/>
    <hyperlink ref="A13" r:id="rId4" location="#'💰 Costos y ganancia'!A1"/>
    <hyperlink ref="A14" r:id="rId5" location="#'🔮 Simulador'!A1"/>
    <hyperlink ref="A15" r:id="rId6" location="#'🐣 Levante'!A1"/>
    <hyperlink ref="A16" r:id="rId7" location="#'📐 Espacio y equipos'!A1"/>
    <hyperlink ref="A17" r:id="rId8" location="#'💧 Agua'!A1"/>
    <hyperlink ref="A18" r:id="rId9" location="#'💊 Medicamento en agua'!A1"/>
    <hyperlink ref="A19" r:id="rId10" location="#'⚖️ Mezcla de alimento'!A1"/>
    <hyperlink ref="A20" r:id="rId11" location="#'💡 Luz'!A1"/>
    <hyperlink ref="A21" r:id="rId12" location="#'📉 Mortalidad'!A1"/>
    <hyperlink ref="A22" r:id="rId13" location="#'📅 Proyección del lote'!A1"/>
    <hyperlink ref="A23" r:id="rId14" location="#'🔠 Clasificación del huevo'!A1"/>
    <hyperlink ref="A24" r:id="rId15" location="#'🔁 Conversiones'!A1"/>
    <hyperlink ref="A25" r:id="rId16" location="#'🏦 Inversión y retorno'!A1"/>
    <hyperlink ref="A26" r:id="rId17" location="#'🐔 Gallina de descarte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CC808"/>
    <pageSetUpPr fitToPage="1"/>
  </sheetPr>
  <dimension ref="A1:D4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47</v>
      </c>
      <c r="C1" s="1"/>
      <c r="D1" s="13" t="s">
        <v>48</v>
      </c>
    </row>
    <row r="2" ht="25" customHeight="1" spans="1:3" x14ac:dyDescent="0.25">
      <c r="A2" s="2" t="s">
        <v>49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6" t="s">
        <v>50</v>
      </c>
      <c r="B4" s="6"/>
      <c r="C4" s="6"/>
    </row>
    <row r="5" ht="22" customHeight="1" spans="1:3" x14ac:dyDescent="0.25">
      <c r="A5" s="11" t="s">
        <v>51</v>
      </c>
      <c r="B5" s="11"/>
      <c r="C5" s="14" t="str">
        <f>REPT("█",ROUND('🥚 Producción'!B10*20,0))</f>
        <v>█████████████████</v>
      </c>
    </row>
    <row r="6" spans="1:3" x14ac:dyDescent="0.25">
      <c r="A6" s="15">
        <f>'🥚 Producción'!B10</f>
        <v>0.87</v>
      </c>
      <c r="B6" s="15"/>
    </row>
    <row r="7" spans="1:3" x14ac:dyDescent="0.25"/>
    <row r="8" ht="22" customHeight="1" spans="1:3" x14ac:dyDescent="0.25">
      <c r="A8" s="11" t="s">
        <v>52</v>
      </c>
      <c r="B8" s="11"/>
    </row>
    <row r="9" spans="1:3" x14ac:dyDescent="0.25">
      <c r="A9" s="16">
        <f>'🌽 Alimento'!B18</f>
        <v>2.1319985168706</v>
      </c>
      <c r="B9" s="16"/>
    </row>
    <row r="10" spans="1:3" x14ac:dyDescent="0.25"/>
    <row r="11" ht="22" customHeight="1" spans="1:3" x14ac:dyDescent="0.25">
      <c r="A11" s="11" t="s">
        <v>53</v>
      </c>
      <c r="B11" s="11"/>
    </row>
    <row r="12" spans="1:3" x14ac:dyDescent="0.25">
      <c r="A12" s="17">
        <f>'💰 Costos y ganancia'!B21</f>
        <v>428.289872650091</v>
      </c>
      <c r="B12" s="17"/>
    </row>
    <row r="13" spans="1:3" x14ac:dyDescent="0.25"/>
    <row r="14" ht="22" customHeight="1" spans="1:3" x14ac:dyDescent="0.25">
      <c r="A14" s="11" t="s">
        <v>54</v>
      </c>
      <c r="B14" s="11"/>
    </row>
    <row r="15" spans="1:3" x14ac:dyDescent="0.25">
      <c r="A15" s="18">
        <f>'💰 Costos y ganancia'!B22</f>
        <v>12848.6961795027</v>
      </c>
      <c r="B15" s="18"/>
    </row>
    <row r="16" spans="1:3" x14ac:dyDescent="0.25"/>
    <row r="17" ht="22" customHeight="1" spans="1:3" x14ac:dyDescent="0.25">
      <c r="A17" s="11" t="s">
        <v>55</v>
      </c>
      <c r="B17" s="11"/>
    </row>
    <row r="18" spans="1:3" x14ac:dyDescent="0.25">
      <c r="A18" s="18">
        <f>'💰 Costos y ganancia'!B20</f>
        <v>1773750</v>
      </c>
      <c r="B18" s="18"/>
    </row>
    <row r="19" spans="1:3" x14ac:dyDescent="0.25"/>
    <row r="20" ht="22" customHeight="1" spans="1:3" x14ac:dyDescent="0.25">
      <c r="A20" s="11" t="s">
        <v>56</v>
      </c>
      <c r="B20" s="11"/>
    </row>
    <row r="21" spans="1:3" x14ac:dyDescent="0.25">
      <c r="A21" s="18">
        <f>'💰 Costos y ganancia'!B23</f>
        <v>12848.6961795027</v>
      </c>
      <c r="B21" s="18"/>
    </row>
    <row r="22" spans="1:3" x14ac:dyDescent="0.25"/>
    <row r="23" ht="22" customHeight="1" spans="1:3" x14ac:dyDescent="0.25">
      <c r="A23" s="11" t="s">
        <v>57</v>
      </c>
      <c r="B23" s="11"/>
    </row>
    <row r="24" spans="1:3" x14ac:dyDescent="0.25">
      <c r="A24" s="18">
        <f>'🐣 Levante'!B18</f>
        <v>23562.5</v>
      </c>
      <c r="B24" s="18"/>
    </row>
    <row r="25" spans="1:3" x14ac:dyDescent="0.25"/>
    <row r="26" ht="22" customHeight="1" spans="1:3" x14ac:dyDescent="0.25">
      <c r="A26" s="11" t="s">
        <v>58</v>
      </c>
      <c r="B26" s="11"/>
    </row>
    <row r="27" spans="1:3" x14ac:dyDescent="0.25">
      <c r="A27" s="15">
        <f>'📉 Mortalidad'!B10</f>
        <v>0.045</v>
      </c>
      <c r="B27" s="15"/>
    </row>
    <row r="28" spans="1:3" x14ac:dyDescent="0.25"/>
    <row r="29" ht="22" customHeight="1" spans="1:3" x14ac:dyDescent="0.25">
      <c r="A29" s="11" t="s">
        <v>59</v>
      </c>
      <c r="B29" s="11"/>
    </row>
    <row r="30" spans="1:3" x14ac:dyDescent="0.25">
      <c r="A30" s="18">
        <f>'📅 Proyección del lote'!B14</f>
        <v>334656</v>
      </c>
      <c r="B30" s="18"/>
    </row>
    <row r="31" spans="1:3" x14ac:dyDescent="0.25"/>
    <row r="32" spans="1:3" x14ac:dyDescent="0.25"/>
    <row r="33" ht="22" customHeight="1" spans="1:3" x14ac:dyDescent="0.25">
      <c r="A33" s="6" t="s">
        <v>60</v>
      </c>
      <c r="B33" s="6"/>
      <c r="C33" s="6"/>
    </row>
    <row r="34" spans="1:3" x14ac:dyDescent="0.25">
      <c r="A34" s="19" t="str">
        <f>IF('🥚 Producción'!B10&lt;0.8,"Tu postura está baja. Revisa horas de luz (16 h), consumo de alimento y agua, calor en el galpón y la edad del lote.",IF('🥚 Producción'!B10&lt;0.9,"Postura aceptable; compárala semana a semana con la guía de tu línea.","¡Excelente postura! Mantén constantes la luz, el alimento y el agua."))</f>
        <v>Postura aceptable; compárala semana a semana con la guía de tu línea.</v>
      </c>
      <c r="B34" s="19"/>
      <c r="C34" s="19"/>
    </row>
    <row r="35" spans="1:3" x14ac:dyDescent="0.25">
      <c r="A35" s="19" t="str">
        <f>IF('🌽 Alimento'!B18&gt;2.4,"Estás gastando mucho alimento por kilo de huevo. Revisa desperdicio en comederos, roedores y el peso del huevo.","Conversión dentro de lo esperado.")</f>
        <v>Conversión dentro de lo esperado.</v>
      </c>
      <c r="B35" s="19"/>
      <c r="C35" s="19"/>
    </row>
    <row r="36" spans="1:3" x14ac:dyDescent="0.25">
      <c r="A36" s="19" t="str">
        <f>IF('💰 Costos y ganancia'!B20&lt;=0,"Con estos números pierdes dinero: sube el precio de la cubeta al menos a "&amp;FIXED('💰 Costos y ganancia'!B23,0)&amp;" o baja costos.","Ganas "&amp;FIXED('💰 Costos y ganancia'!B20,0)&amp;" al mes, "&amp;FIXED('💰 Costos y ganancia'!B25,0)&amp;" por gallina.")</f>
        <v>Ganas 1773750 al mes, 1774 por gallina.</v>
      </c>
      <c r="B36" s="19"/>
      <c r="C36" s="19"/>
    </row>
    <row r="37" spans="1:3" x14ac:dyDescent="0.25">
      <c r="A37" s="19" t="str">
        <f>IF('📉 Mortalidad'!B10&gt;0.08,"Mortalidad alta: revisa bioseguridad, vacunación con tu veterinario y calor.","Mortalidad bajo control.")</f>
        <v>Mortalidad bajo control.</v>
      </c>
      <c r="B37" s="19"/>
      <c r="C37" s="19"/>
    </row>
    <row r="38" spans="1:3" x14ac:dyDescent="0.25">
      <c r="A38" s="19" t="str">
        <f>IF('💡 Luz'!B11&gt;0,"Necesitas "&amp;FIXED('💡 Luz'!B11,1)&amp;" h de luz artificial al día; cuesta "&amp;FIXED('💡 Luz'!B14,0)&amp;" al mes.","No necesitas luz artificial adicional.")</f>
        <v>Necesitas 4 h de luz artificial al día; cuesta 9720 al mes.</v>
      </c>
      <c r="B38" s="19"/>
      <c r="C38" s="19"/>
    </row>
    <row r="39" spans="1:3" x14ac:dyDescent="0.25">
      <c r="A39" s="19" t="str">
        <f>IF(LEFT('📐 Espacio y equipos'!B18,2)="No","Tu galpón no alcanza: "&amp;'📐 Espacio y equipos'!B18&amp;" m² o reduce el lote.","Espacio suficiente.")</f>
        <v>Espacio suficiente.</v>
      </c>
      <c r="B39" s="19"/>
      <c r="C39" s="19"/>
    </row>
    <row r="40" spans="1:3" x14ac:dyDescent="0.25">
      <c r="A40" s="19" t="str">
        <f>"Compara con la guía de "&amp;'🐣 Levante'!B12&amp;"."</f>
        <v>Compara con la guía de Babcock Brown.</v>
      </c>
      <c r="B40" s="19"/>
      <c r="C40" s="19"/>
    </row>
    <row r="41" ht="22" customHeight="1" spans="1:3" x14ac:dyDescent="0.25">
      <c r="A41" s="20" t="s">
        <v>61</v>
      </c>
      <c r="B41" s="20"/>
      <c r="C41" s="20"/>
    </row>
    <row r="42" spans="1:3" x14ac:dyDescent="0.25"/>
    <row r="43" ht="22" customHeight="1" spans="1:3" x14ac:dyDescent="0.25">
      <c r="A43" s="11" t="s">
        <v>62</v>
      </c>
      <c r="B43" s="11"/>
      <c r="C43" s="11"/>
    </row>
    <row r="44" spans="1:3" x14ac:dyDescent="0.25"/>
    <row r="45" ht="22" customHeight="1" spans="1:3" x14ac:dyDescent="0.25">
      <c r="A45" s="21" t="s">
        <v>63</v>
      </c>
      <c r="B45" s="21"/>
      <c r="C45" s="21"/>
    </row>
  </sheetData>
  <sheetProtection sheet="1"/>
  <mergeCells count="33">
    <mergeCell ref="B1:C1"/>
    <mergeCell ref="A2:B2"/>
    <mergeCell ref="A3:C3"/>
    <mergeCell ref="A4:C4"/>
    <mergeCell ref="A5:B5"/>
    <mergeCell ref="A6:B6"/>
    <mergeCell ref="A8:B8"/>
    <mergeCell ref="A9:B9"/>
    <mergeCell ref="A11:B11"/>
    <mergeCell ref="A12:B12"/>
    <mergeCell ref="A14:B14"/>
    <mergeCell ref="A15:B15"/>
    <mergeCell ref="A17:B17"/>
    <mergeCell ref="A18:B18"/>
    <mergeCell ref="A20:B20"/>
    <mergeCell ref="A21:B21"/>
    <mergeCell ref="A23:B23"/>
    <mergeCell ref="A24:B24"/>
    <mergeCell ref="A26:B26"/>
    <mergeCell ref="A27:B27"/>
    <mergeCell ref="A29:B29"/>
    <mergeCell ref="A30:B30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3:C43"/>
    <mergeCell ref="A45:C45"/>
  </mergeCell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64</v>
      </c>
      <c r="C1" s="1"/>
      <c r="D1" s="13" t="s">
        <v>48</v>
      </c>
    </row>
    <row r="2" ht="25" customHeight="1" spans="1:3" x14ac:dyDescent="0.25">
      <c r="A2" s="2" t="s">
        <v>65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67</v>
      </c>
      <c r="B5" s="23">
        <v>1000</v>
      </c>
      <c r="C5" s="9" t="s">
        <v>68</v>
      </c>
    </row>
    <row r="6" ht="22" customHeight="1" spans="1:3" x14ac:dyDescent="0.25">
      <c r="A6" s="7" t="s">
        <v>69</v>
      </c>
      <c r="B6" s="23">
        <v>870</v>
      </c>
      <c r="C6" s="9" t="s">
        <v>70</v>
      </c>
    </row>
    <row r="7" ht="22" customHeight="1" spans="1:3" x14ac:dyDescent="0.25">
      <c r="A7" s="7" t="s">
        <v>71</v>
      </c>
      <c r="B7" s="23">
        <v>30</v>
      </c>
      <c r="C7" s="9" t="s">
        <v>70</v>
      </c>
    </row>
    <row r="8" ht="22" customHeight="1" spans="1:3" x14ac:dyDescent="0.25">
      <c r="A8" s="7" t="s">
        <v>72</v>
      </c>
      <c r="B8" s="23">
        <v>62</v>
      </c>
      <c r="C8" s="9" t="s">
        <v>73</v>
      </c>
    </row>
    <row r="9" ht="22" customHeight="1" spans="1:3" x14ac:dyDescent="0.25">
      <c r="A9" s="6" t="s">
        <v>74</v>
      </c>
      <c r="B9" s="6"/>
      <c r="C9" s="6"/>
    </row>
    <row r="10" ht="30" customHeight="1" spans="1:3" x14ac:dyDescent="0.25">
      <c r="A10" s="7" t="s">
        <v>75</v>
      </c>
      <c r="B10" s="24">
        <f>IF(B5=0,0,B6/B5)</f>
        <v>0.87</v>
      </c>
      <c r="C10" s="9" t="s">
        <v>6</v>
      </c>
    </row>
    <row r="11" ht="22" customHeight="1" spans="1:3" x14ac:dyDescent="0.25">
      <c r="A11" s="7" t="s">
        <v>76</v>
      </c>
      <c r="B11" s="25">
        <f>IF(B7=0,0,QUOTIENT(B6,B7))</f>
        <v>29</v>
      </c>
      <c r="C11" s="9" t="s">
        <v>77</v>
      </c>
    </row>
    <row r="12" ht="22" customHeight="1" spans="1:3" x14ac:dyDescent="0.25">
      <c r="A12" s="7" t="s">
        <v>78</v>
      </c>
      <c r="B12" s="26">
        <f>IF(B7=0,0,MOD(B6,B7))</f>
        <v>0</v>
      </c>
      <c r="C12" s="9" t="s">
        <v>70</v>
      </c>
    </row>
    <row r="13" ht="22" customHeight="1" spans="1:3" x14ac:dyDescent="0.25">
      <c r="A13" s="7" t="s">
        <v>79</v>
      </c>
      <c r="B13" s="25">
        <f>B6*B8/1000</f>
        <v>53.94</v>
      </c>
      <c r="C13" s="9" t="s">
        <v>80</v>
      </c>
    </row>
    <row r="14" ht="22" customHeight="1" spans="1:3" x14ac:dyDescent="0.25">
      <c r="A14" s="7" t="s">
        <v>81</v>
      </c>
      <c r="B14" s="26">
        <f>B6*30</f>
        <v>26100</v>
      </c>
      <c r="C14" s="9" t="s">
        <v>70</v>
      </c>
    </row>
    <row r="15" ht="22" customHeight="1" spans="1:3" x14ac:dyDescent="0.25">
      <c r="A15" s="7" t="s">
        <v>82</v>
      </c>
      <c r="B15" s="25">
        <f>IF(B7=0,0,B6*30/B7)</f>
        <v>870</v>
      </c>
      <c r="C15" s="9" t="s">
        <v>77</v>
      </c>
    </row>
    <row r="16" spans="1:3" x14ac:dyDescent="0.25"/>
    <row r="17" ht="22" customHeight="1" spans="1:3" x14ac:dyDescent="0.25">
      <c r="A17" s="21" t="s">
        <v>63</v>
      </c>
      <c r="B17" s="21"/>
      <c r="C17" s="21"/>
    </row>
  </sheetData>
  <sheetProtection sheet="1"/>
  <mergeCells count="6">
    <mergeCell ref="B1:C1"/>
    <mergeCell ref="A2:B2"/>
    <mergeCell ref="A3:C3"/>
    <mergeCell ref="A4:C4"/>
    <mergeCell ref="A9:C9"/>
    <mergeCell ref="A17:C17"/>
  </mergeCells>
  <dataValidations count="1">
    <dataValidation type="decimal" operator="greaterThanOrEqual" showErrorMessage="1" errorTitle="Dato no válido" error="Escribe un número igual o mayor que cero." sqref="B5:B8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83</v>
      </c>
      <c r="C1" s="1"/>
      <c r="D1" s="13" t="s">
        <v>48</v>
      </c>
    </row>
    <row r="2" ht="25" customHeight="1" spans="1:3" x14ac:dyDescent="0.25">
      <c r="A2" s="2" t="s">
        <v>84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85</v>
      </c>
      <c r="B5" s="23">
        <v>1000</v>
      </c>
      <c r="C5" s="9" t="s">
        <v>68</v>
      </c>
    </row>
    <row r="6" ht="22" customHeight="1" spans="1:3" x14ac:dyDescent="0.25">
      <c r="A6" s="7" t="s">
        <v>86</v>
      </c>
      <c r="B6" s="23">
        <v>115</v>
      </c>
      <c r="C6" s="9" t="s">
        <v>87</v>
      </c>
    </row>
    <row r="7" ht="22" customHeight="1" spans="1:3" x14ac:dyDescent="0.25">
      <c r="A7" s="7" t="s">
        <v>88</v>
      </c>
      <c r="B7" s="23">
        <v>40</v>
      </c>
      <c r="C7" s="9" t="s">
        <v>80</v>
      </c>
    </row>
    <row r="8" ht="22" customHeight="1" spans="1:3" x14ac:dyDescent="0.25">
      <c r="A8" s="7" t="s">
        <v>89</v>
      </c>
      <c r="B8" s="23">
        <v>95000</v>
      </c>
      <c r="C8" s="9" t="str">
        <f>'🏠 Inicio'!B8</f>
        <v>COP $</v>
      </c>
    </row>
    <row r="9" ht="22" customHeight="1" spans="1:3" x14ac:dyDescent="0.25">
      <c r="A9" s="7" t="s">
        <v>90</v>
      </c>
      <c r="B9" s="23">
        <v>870</v>
      </c>
      <c r="C9" s="9" t="s">
        <v>70</v>
      </c>
    </row>
    <row r="10" ht="22" customHeight="1" spans="1:3" x14ac:dyDescent="0.25">
      <c r="A10" s="7" t="s">
        <v>91</v>
      </c>
      <c r="B10" s="23">
        <v>62</v>
      </c>
      <c r="C10" s="9" t="s">
        <v>73</v>
      </c>
    </row>
    <row r="11" ht="22" customHeight="1" spans="1:3" x14ac:dyDescent="0.25">
      <c r="A11" s="6" t="s">
        <v>74</v>
      </c>
      <c r="B11" s="6"/>
      <c r="C11" s="6"/>
    </row>
    <row r="12" ht="22" customHeight="1" spans="1:3" x14ac:dyDescent="0.25">
      <c r="A12" s="7" t="s">
        <v>92</v>
      </c>
      <c r="B12" s="25">
        <f>B5*B6/1000</f>
        <v>115</v>
      </c>
      <c r="C12" s="9" t="s">
        <v>80</v>
      </c>
    </row>
    <row r="13" ht="22" customHeight="1" spans="1:3" x14ac:dyDescent="0.25">
      <c r="A13" s="7" t="s">
        <v>93</v>
      </c>
      <c r="B13" s="25">
        <f>IF(B7=0,0,B12/B7)</f>
        <v>2.875</v>
      </c>
      <c r="C13" s="9" t="s">
        <v>94</v>
      </c>
    </row>
    <row r="14" ht="22" customHeight="1" spans="1:3" x14ac:dyDescent="0.25">
      <c r="A14" s="7" t="s">
        <v>95</v>
      </c>
      <c r="B14" s="25">
        <f>B13*7</f>
        <v>20.125</v>
      </c>
      <c r="C14" s="9" t="s">
        <v>94</v>
      </c>
    </row>
    <row r="15" ht="22" customHeight="1" spans="1:3" x14ac:dyDescent="0.25">
      <c r="A15" s="7" t="s">
        <v>96</v>
      </c>
      <c r="B15" s="25">
        <f>B13*30</f>
        <v>86.25</v>
      </c>
      <c r="C15" s="9" t="s">
        <v>94</v>
      </c>
    </row>
    <row r="16" ht="22" customHeight="1" spans="1:3" x14ac:dyDescent="0.25">
      <c r="A16" s="7" t="s">
        <v>97</v>
      </c>
      <c r="B16" s="26">
        <f>IF(B7=0,0,B13*B8)</f>
        <v>273125</v>
      </c>
      <c r="C16" s="9" t="str">
        <f>'🏠 Inicio'!B8</f>
        <v>COP $</v>
      </c>
    </row>
    <row r="17" ht="30" customHeight="1" spans="1:3" x14ac:dyDescent="0.25">
      <c r="A17" s="7" t="s">
        <v>98</v>
      </c>
      <c r="B17" s="27">
        <f>B16*30</f>
        <v>8193750</v>
      </c>
      <c r="C17" s="9" t="str">
        <f>'🏠 Inicio'!B8</f>
        <v>COP $</v>
      </c>
    </row>
    <row r="18" ht="22" customHeight="1" spans="1:3" x14ac:dyDescent="0.25">
      <c r="A18" s="7" t="s">
        <v>99</v>
      </c>
      <c r="B18" s="28">
        <f>IF(B9*B10/1000=0,0,B12/(B9*B10/1000))</f>
        <v>2.1319985168706</v>
      </c>
      <c r="C18" s="9" t="s">
        <v>100</v>
      </c>
    </row>
    <row r="19" ht="22" customHeight="1" spans="1:3" x14ac:dyDescent="0.25">
      <c r="A19" s="7" t="s">
        <v>101</v>
      </c>
      <c r="B19" s="25">
        <f>IF(B9=0,0,B12/(B9/12))</f>
        <v>1.58620689655172</v>
      </c>
      <c r="C19" s="9" t="s">
        <v>80</v>
      </c>
    </row>
    <row r="20" ht="22" customHeight="1" spans="1:3" x14ac:dyDescent="0.25">
      <c r="A20" s="7" t="s">
        <v>102</v>
      </c>
      <c r="B20" s="28">
        <f>IF(B9=0,0,B16/B9)</f>
        <v>313.936781609195</v>
      </c>
      <c r="C20" s="9" t="str">
        <f>'🏠 Inicio'!B8</f>
        <v>COP $</v>
      </c>
    </row>
    <row r="21" spans="1:3" x14ac:dyDescent="0.25"/>
    <row r="22" ht="22" customHeight="1" spans="1:3" x14ac:dyDescent="0.25">
      <c r="A22" s="21" t="s">
        <v>63</v>
      </c>
      <c r="B22" s="21"/>
      <c r="C22" s="21"/>
    </row>
  </sheetData>
  <sheetProtection sheet="1"/>
  <mergeCells count="6">
    <mergeCell ref="B1:C1"/>
    <mergeCell ref="A2:B2"/>
    <mergeCell ref="A3:C3"/>
    <mergeCell ref="A4:C4"/>
    <mergeCell ref="A11:C11"/>
    <mergeCell ref="A22:C22"/>
  </mergeCells>
  <dataValidations count="2">
    <dataValidation type="decimal" operator="greaterThanOrEqual" showErrorMessage="1" errorTitle="Dato no válido" error="Escribe un número igual o mayor que cero." sqref="B10">
      <formula1>0</formula1>
    </dataValidation>
    <dataValidation type="decimal" operator="greaterThanOrEqual" showErrorMessage="1" errorTitle="Dato no válido" error="Escribe un número igual o mayor que cero." sqref="B5:B10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103</v>
      </c>
      <c r="C1" s="1"/>
      <c r="D1" s="13" t="s">
        <v>48</v>
      </c>
    </row>
    <row r="2" ht="25" customHeight="1" spans="1:3" x14ac:dyDescent="0.25">
      <c r="A2" s="2" t="s">
        <v>104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85</v>
      </c>
      <c r="B5" s="23">
        <v>1000</v>
      </c>
      <c r="C5" s="9" t="s">
        <v>68</v>
      </c>
    </row>
    <row r="6" ht="22" customHeight="1" spans="1:3" x14ac:dyDescent="0.25">
      <c r="A6" s="7" t="s">
        <v>105</v>
      </c>
      <c r="B6" s="29">
        <v>0.85</v>
      </c>
      <c r="C6" s="9" t="s">
        <v>6</v>
      </c>
    </row>
    <row r="7" ht="22" customHeight="1" spans="1:3" x14ac:dyDescent="0.25">
      <c r="A7" s="7" t="s">
        <v>106</v>
      </c>
      <c r="B7" s="23">
        <v>15000</v>
      </c>
      <c r="C7" s="9" t="str">
        <f>'🏠 Inicio'!B8</f>
        <v>COP $</v>
      </c>
    </row>
    <row r="8" ht="22" customHeight="1" spans="1:3" x14ac:dyDescent="0.25">
      <c r="A8" s="7" t="s">
        <v>71</v>
      </c>
      <c r="B8" s="23">
        <v>30</v>
      </c>
      <c r="C8" s="9" t="s">
        <v>70</v>
      </c>
    </row>
    <row r="9" ht="22" customHeight="1" spans="1:3" x14ac:dyDescent="0.25">
      <c r="A9" s="7" t="s">
        <v>98</v>
      </c>
      <c r="B9" s="23">
        <f>'🌽 Alimento'!B17</f>
        <v>8193750</v>
      </c>
      <c r="C9" s="9" t="s">
        <v>107</v>
      </c>
    </row>
    <row r="10" ht="22" customHeight="1" spans="1:3" x14ac:dyDescent="0.25">
      <c r="A10" s="7" t="s">
        <v>108</v>
      </c>
      <c r="B10" s="23">
        <v>1500000</v>
      </c>
      <c r="C10" s="9" t="str">
        <f>'🏠 Inicio'!B8</f>
        <v>COP $</v>
      </c>
    </row>
    <row r="11" ht="22" customHeight="1" spans="1:3" x14ac:dyDescent="0.25">
      <c r="A11" s="7" t="s">
        <v>109</v>
      </c>
      <c r="B11" s="23">
        <v>300000</v>
      </c>
      <c r="C11" s="9" t="str">
        <f>'🏠 Inicio'!B8</f>
        <v>COP $</v>
      </c>
    </row>
    <row r="12" ht="22" customHeight="1" spans="1:3" x14ac:dyDescent="0.25">
      <c r="A12" s="7" t="s">
        <v>110</v>
      </c>
      <c r="B12" s="23">
        <v>400000</v>
      </c>
      <c r="C12" s="9" t="str">
        <f>'🏠 Inicio'!B8</f>
        <v>COP $</v>
      </c>
    </row>
    <row r="13" ht="22" customHeight="1" spans="1:3" x14ac:dyDescent="0.25">
      <c r="A13" s="7" t="s">
        <v>111</v>
      </c>
      <c r="B13" s="23">
        <v>200000</v>
      </c>
      <c r="C13" s="9" t="str">
        <f>'🏠 Inicio'!B8</f>
        <v>COP $</v>
      </c>
    </row>
    <row r="14" ht="22" customHeight="1" spans="1:3" x14ac:dyDescent="0.25">
      <c r="A14" s="7" t="s">
        <v>112</v>
      </c>
      <c r="B14" s="29">
        <v>0.03</v>
      </c>
      <c r="C14" s="9" t="s">
        <v>6</v>
      </c>
    </row>
    <row r="15" ht="22" customHeight="1" spans="1:3" x14ac:dyDescent="0.25">
      <c r="A15" s="6" t="s">
        <v>74</v>
      </c>
      <c r="B15" s="6"/>
      <c r="C15" s="6"/>
    </row>
    <row r="16" ht="22" customHeight="1" spans="1:3" x14ac:dyDescent="0.25">
      <c r="A16" s="7" t="s">
        <v>113</v>
      </c>
      <c r="B16" s="26">
        <f>B5*B6*30*(1-B14)</f>
        <v>24735</v>
      </c>
      <c r="C16" s="9" t="s">
        <v>70</v>
      </c>
    </row>
    <row r="17" ht="22" customHeight="1" spans="1:3" x14ac:dyDescent="0.25">
      <c r="A17" s="7" t="s">
        <v>114</v>
      </c>
      <c r="B17" s="25">
        <f>IF(B8=0,0,B16/B8)</f>
        <v>824.5</v>
      </c>
      <c r="C17" s="9" t="s">
        <v>77</v>
      </c>
    </row>
    <row r="18" ht="22" customHeight="1" spans="1:3" x14ac:dyDescent="0.25">
      <c r="A18" s="7" t="s">
        <v>115</v>
      </c>
      <c r="B18" s="26">
        <f>B17*B7</f>
        <v>12367500</v>
      </c>
      <c r="C18" s="9" t="str">
        <f>'🏠 Inicio'!B8</f>
        <v>COP $</v>
      </c>
    </row>
    <row r="19" ht="22" customHeight="1" spans="1:3" x14ac:dyDescent="0.25">
      <c r="A19" s="7" t="s">
        <v>116</v>
      </c>
      <c r="B19" s="26">
        <f>SUM(B9:B13)</f>
        <v>10593750</v>
      </c>
      <c r="C19" s="9" t="str">
        <f>'🏠 Inicio'!B8</f>
        <v>COP $</v>
      </c>
    </row>
    <row r="20" ht="30" customHeight="1" spans="1:3" x14ac:dyDescent="0.25">
      <c r="A20" s="7" t="s">
        <v>117</v>
      </c>
      <c r="B20" s="27">
        <f>B18-B19</f>
        <v>1773750</v>
      </c>
      <c r="C20" s="9" t="str">
        <f>'🏠 Inicio'!B8</f>
        <v>COP $</v>
      </c>
    </row>
    <row r="21" ht="22" customHeight="1" spans="1:3" x14ac:dyDescent="0.25">
      <c r="A21" s="7" t="s">
        <v>53</v>
      </c>
      <c r="B21" s="28">
        <f>IF(B16=0,0,B19/B16)</f>
        <v>428.289872650091</v>
      </c>
      <c r="C21" s="9" t="str">
        <f>'🏠 Inicio'!B8</f>
        <v>COP $</v>
      </c>
    </row>
    <row r="22" ht="22" customHeight="1" spans="1:3" x14ac:dyDescent="0.25">
      <c r="A22" s="7" t="s">
        <v>54</v>
      </c>
      <c r="B22" s="26">
        <f>IF(B17=0,0,B19/B17)</f>
        <v>12848.6961795027</v>
      </c>
      <c r="C22" s="9" t="str">
        <f>'🏠 Inicio'!B8</f>
        <v>COP $</v>
      </c>
    </row>
    <row r="23" ht="22" customHeight="1" spans="1:3" x14ac:dyDescent="0.25">
      <c r="A23" s="7" t="s">
        <v>118</v>
      </c>
      <c r="B23" s="26">
        <f>B22</f>
        <v>12848.6961795027</v>
      </c>
      <c r="C23" s="9" t="str">
        <f>'🏠 Inicio'!B8</f>
        <v>COP $</v>
      </c>
    </row>
    <row r="24" ht="22" customHeight="1" spans="1:3" x14ac:dyDescent="0.25">
      <c r="A24" s="7" t="s">
        <v>119</v>
      </c>
      <c r="B24" s="26">
        <f>B7-B23</f>
        <v>2151.30382049727</v>
      </c>
      <c r="C24" s="9" t="str">
        <f>'🏠 Inicio'!B8</f>
        <v>COP $</v>
      </c>
    </row>
    <row r="25" ht="22" customHeight="1" spans="1:3" x14ac:dyDescent="0.25">
      <c r="A25" s="7" t="s">
        <v>120</v>
      </c>
      <c r="B25" s="26">
        <f>IF(B5=0,0,B20/B5)</f>
        <v>1773.75</v>
      </c>
      <c r="C25" s="9" t="str">
        <f>'🏠 Inicio'!B8</f>
        <v>COP $</v>
      </c>
    </row>
    <row r="26" ht="22" customHeight="1" spans="1:3" x14ac:dyDescent="0.25">
      <c r="A26" s="7" t="s">
        <v>121</v>
      </c>
      <c r="B26" s="30">
        <f>IF(B5*30*(1-B14)*B7/B8=0,0,B19/(B5*30*(1-B14)*B7/B8))</f>
        <v>0.728092783505155</v>
      </c>
      <c r="C26" s="9" t="s">
        <v>6</v>
      </c>
    </row>
    <row r="27" spans="1:3" x14ac:dyDescent="0.25"/>
    <row r="28" ht="22" customHeight="1" spans="1:3" x14ac:dyDescent="0.25">
      <c r="A28" s="21" t="s">
        <v>63</v>
      </c>
      <c r="B28" s="21"/>
      <c r="C28" s="21"/>
    </row>
  </sheetData>
  <sheetProtection sheet="1"/>
  <mergeCells count="6">
    <mergeCell ref="B1:C1"/>
    <mergeCell ref="A2:B2"/>
    <mergeCell ref="A3:C3"/>
    <mergeCell ref="A4:C4"/>
    <mergeCell ref="A15:C15"/>
    <mergeCell ref="A28:C28"/>
  </mergeCells>
  <dataValidations count="5">
    <dataValidation type="decimal" operator="greaterThanOrEqual" showErrorMessage="1" errorTitle="Dato no válido" error="Escribe un número igual o mayor que cero." sqref="B10:B13">
      <formula1>0</formula1>
    </dataValidation>
    <dataValidation type="decimal" showErrorMessage="1" errorTitle="Dato no válido" error="Escribe un porcentaje entre 0 % y 100 %." sqref="B14">
      <formula1>0</formula1>
      <formula2>1</formula2>
    </dataValidation>
    <dataValidation type="decimal" operator="greaterThanOrEqual" showErrorMessage="1" errorTitle="Dato no válido" error="Escribe un número igual o mayor que cero." sqref="B5">
      <formula1>0</formula1>
    </dataValidation>
    <dataValidation type="decimal" showErrorMessage="1" errorTitle="Dato no válido" error="Escribe un porcentaje entre 0 % y 100 %." sqref="B6">
      <formula1>0</formula1>
      <formula2>1</formula2>
    </dataValidation>
    <dataValidation type="decimal" operator="greaterThanOrEqual" showErrorMessage="1" errorTitle="Dato no válido" error="Escribe un número igual o mayor que cero." sqref="B7:B13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F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122</v>
      </c>
      <c r="C1" s="1"/>
      <c r="D1" s="13" t="s">
        <v>48</v>
      </c>
    </row>
    <row r="2" ht="25" customHeight="1" spans="1:3" x14ac:dyDescent="0.25">
      <c r="A2" s="2" t="s">
        <v>123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6" t="s">
        <v>124</v>
      </c>
      <c r="B4" s="6"/>
      <c r="C4" s="6"/>
    </row>
    <row r="5" ht="22" customHeight="1" spans="1:6" x14ac:dyDescent="0.25">
      <c r="A5" s="7" t="s">
        <v>125</v>
      </c>
      <c r="B5" s="7">
        <f>'💰 Costos y ganancia'!B7*0.8</f>
        <v>12000</v>
      </c>
      <c r="C5" s="7">
        <f>'💰 Costos y ganancia'!B7*0.9</f>
        <v>13500</v>
      </c>
      <c r="D5" s="7">
        <f>'💰 Costos y ganancia'!B7*1</f>
        <v>15000</v>
      </c>
      <c r="E5" s="7">
        <f>'💰 Costos y ganancia'!B7*1.1</f>
        <v>16500</v>
      </c>
      <c r="F5" s="7">
        <f>'💰 Costos y ganancia'!B7*1.2</f>
        <v>18000</v>
      </c>
    </row>
    <row r="6" spans="1:6" x14ac:dyDescent="0.25">
      <c r="A6" s="7">
        <f>'🌽 Alimento'!B8*0.8</f>
        <v>76000</v>
      </c>
      <c r="B6" s="31">
        <f>'💰 Costos y ganancia'!B5*'💰 Costos y ganancia'!B6*30*(1-'💰 Costos y ganancia'!B14)/'💰 Costos y ganancia'!B8*(B$5)-('💰 Costos y ganancia'!B10+'💰 Costos y ganancia'!B11+'💰 Costos y ganancia'!B12+'💰 Costos y ganancia'!B13+'🌽 Alimento'!B17*($A6/'🌽 Alimento'!B8))</f>
        <v>939000</v>
      </c>
      <c r="C6" s="31">
        <f>'💰 Costos y ganancia'!B5*'💰 Costos y ganancia'!B6*30*(1-'💰 Costos y ganancia'!B14)/'💰 Costos y ganancia'!B8*(C$5)-('💰 Costos y ganancia'!B10+'💰 Costos y ganancia'!B11+'💰 Costos y ganancia'!B12+'💰 Costos y ganancia'!B13+'🌽 Alimento'!B17*($A6/'🌽 Alimento'!B8))</f>
        <v>2175750</v>
      </c>
      <c r="D6" s="31">
        <f>'💰 Costos y ganancia'!B5*'💰 Costos y ganancia'!B6*30*(1-'💰 Costos y ganancia'!B14)/'💰 Costos y ganancia'!B8*(D$5)-('💰 Costos y ganancia'!B10+'💰 Costos y ganancia'!B11+'💰 Costos y ganancia'!B12+'💰 Costos y ganancia'!B13+'🌽 Alimento'!B17*($A6/'🌽 Alimento'!B8))</f>
        <v>3412500</v>
      </c>
      <c r="E6" s="31">
        <f>'💰 Costos y ganancia'!B5*'💰 Costos y ganancia'!B6*30*(1-'💰 Costos y ganancia'!B14)/'💰 Costos y ganancia'!B8*(E$5)-('💰 Costos y ganancia'!B10+'💰 Costos y ganancia'!B11+'💰 Costos y ganancia'!B12+'💰 Costos y ganancia'!B13+'🌽 Alimento'!B17*($A6/'🌽 Alimento'!B8))</f>
        <v>4649250</v>
      </c>
      <c r="F6" s="31">
        <f>'💰 Costos y ganancia'!B5*'💰 Costos y ganancia'!B6*30*(1-'💰 Costos y ganancia'!B14)/'💰 Costos y ganancia'!B8*(F$5)-('💰 Costos y ganancia'!B10+'💰 Costos y ganancia'!B11+'💰 Costos y ganancia'!B12+'💰 Costos y ganancia'!B13+'🌽 Alimento'!B17*($A6/'🌽 Alimento'!B8))</f>
        <v>5886000</v>
      </c>
    </row>
    <row r="7" spans="1:6" x14ac:dyDescent="0.25">
      <c r="A7" s="7">
        <f>'🌽 Alimento'!B8*0.9</f>
        <v>85500</v>
      </c>
      <c r="B7" s="31">
        <f>'💰 Costos y ganancia'!B5*'💰 Costos y ganancia'!B6*30*(1-'💰 Costos y ganancia'!B14)/'💰 Costos y ganancia'!B8*(B$5)-('💰 Costos y ganancia'!B10+'💰 Costos y ganancia'!B11+'💰 Costos y ganancia'!B12+'💰 Costos y ganancia'!B13+'🌽 Alimento'!B17*($A7/'🌽 Alimento'!B8))</f>
        <v>119625</v>
      </c>
      <c r="C7" s="31">
        <f>'💰 Costos y ganancia'!B5*'💰 Costos y ganancia'!B6*30*(1-'💰 Costos y ganancia'!B14)/'💰 Costos y ganancia'!B8*(C$5)-('💰 Costos y ganancia'!B10+'💰 Costos y ganancia'!B11+'💰 Costos y ganancia'!B12+'💰 Costos y ganancia'!B13+'🌽 Alimento'!B17*($A7/'🌽 Alimento'!B8))</f>
        <v>1356375</v>
      </c>
      <c r="D7" s="31">
        <f>'💰 Costos y ganancia'!B5*'💰 Costos y ganancia'!B6*30*(1-'💰 Costos y ganancia'!B14)/'💰 Costos y ganancia'!B8*(D$5)-('💰 Costos y ganancia'!B10+'💰 Costos y ganancia'!B11+'💰 Costos y ganancia'!B12+'💰 Costos y ganancia'!B13+'🌽 Alimento'!B17*($A7/'🌽 Alimento'!B8))</f>
        <v>2593125</v>
      </c>
      <c r="E7" s="31">
        <f>'💰 Costos y ganancia'!B5*'💰 Costos y ganancia'!B6*30*(1-'💰 Costos y ganancia'!B14)/'💰 Costos y ganancia'!B8*(E$5)-('💰 Costos y ganancia'!B10+'💰 Costos y ganancia'!B11+'💰 Costos y ganancia'!B12+'💰 Costos y ganancia'!B13+'🌽 Alimento'!B17*($A7/'🌽 Alimento'!B8))</f>
        <v>3829875</v>
      </c>
      <c r="F7" s="31">
        <f>'💰 Costos y ganancia'!B5*'💰 Costos y ganancia'!B6*30*(1-'💰 Costos y ganancia'!B14)/'💰 Costos y ganancia'!B8*(F$5)-('💰 Costos y ganancia'!B10+'💰 Costos y ganancia'!B11+'💰 Costos y ganancia'!B12+'💰 Costos y ganancia'!B13+'🌽 Alimento'!B17*($A7/'🌽 Alimento'!B8))</f>
        <v>5066625</v>
      </c>
    </row>
    <row r="8" spans="1:6" x14ac:dyDescent="0.25">
      <c r="A8" s="7">
        <f>'🌽 Alimento'!B8*1</f>
        <v>95000</v>
      </c>
      <c r="B8" s="31">
        <f>'💰 Costos y ganancia'!B5*'💰 Costos y ganancia'!B6*30*(1-'💰 Costos y ganancia'!B14)/'💰 Costos y ganancia'!B8*(B$5)-('💰 Costos y ganancia'!B10+'💰 Costos y ganancia'!B11+'💰 Costos y ganancia'!B12+'💰 Costos y ganancia'!B13+'🌽 Alimento'!B17*($A8/'🌽 Alimento'!B8))</f>
        <v>-699750</v>
      </c>
      <c r="C8" s="31">
        <f>'💰 Costos y ganancia'!B5*'💰 Costos y ganancia'!B6*30*(1-'💰 Costos y ganancia'!B14)/'💰 Costos y ganancia'!B8*(C$5)-('💰 Costos y ganancia'!B10+'💰 Costos y ganancia'!B11+'💰 Costos y ganancia'!B12+'💰 Costos y ganancia'!B13+'🌽 Alimento'!B17*($A8/'🌽 Alimento'!B8))</f>
        <v>537000</v>
      </c>
      <c r="D8" s="31">
        <f>'💰 Costos y ganancia'!B5*'💰 Costos y ganancia'!B6*30*(1-'💰 Costos y ganancia'!B14)/'💰 Costos y ganancia'!B8*(D$5)-('💰 Costos y ganancia'!B10+'💰 Costos y ganancia'!B11+'💰 Costos y ganancia'!B12+'💰 Costos y ganancia'!B13+'🌽 Alimento'!B17*($A8/'🌽 Alimento'!B8))</f>
        <v>1773750</v>
      </c>
      <c r="E8" s="31">
        <f>'💰 Costos y ganancia'!B5*'💰 Costos y ganancia'!B6*30*(1-'💰 Costos y ganancia'!B14)/'💰 Costos y ganancia'!B8*(E$5)-('💰 Costos y ganancia'!B10+'💰 Costos y ganancia'!B11+'💰 Costos y ganancia'!B12+'💰 Costos y ganancia'!B13+'🌽 Alimento'!B17*($A8/'🌽 Alimento'!B8))</f>
        <v>3010500</v>
      </c>
      <c r="F8" s="31">
        <f>'💰 Costos y ganancia'!B5*'💰 Costos y ganancia'!B6*30*(1-'💰 Costos y ganancia'!B14)/'💰 Costos y ganancia'!B8*(F$5)-('💰 Costos y ganancia'!B10+'💰 Costos y ganancia'!B11+'💰 Costos y ganancia'!B12+'💰 Costos y ganancia'!B13+'🌽 Alimento'!B17*($A8/'🌽 Alimento'!B8))</f>
        <v>4247250</v>
      </c>
    </row>
    <row r="9" spans="1:6" x14ac:dyDescent="0.25">
      <c r="A9" s="7">
        <f>'🌽 Alimento'!B8*1.1</f>
        <v>104500</v>
      </c>
      <c r="B9" s="31">
        <f>'💰 Costos y ganancia'!B5*'💰 Costos y ganancia'!B6*30*(1-'💰 Costos y ganancia'!B14)/'💰 Costos y ganancia'!B8*(B$5)-('💰 Costos y ganancia'!B10+'💰 Costos y ganancia'!B11+'💰 Costos y ganancia'!B12+'💰 Costos y ganancia'!B13+'🌽 Alimento'!B17*($A9/'🌽 Alimento'!B8))</f>
        <v>-1519125</v>
      </c>
      <c r="C9" s="31">
        <f>'💰 Costos y ganancia'!B5*'💰 Costos y ganancia'!B6*30*(1-'💰 Costos y ganancia'!B14)/'💰 Costos y ganancia'!B8*(C$5)-('💰 Costos y ganancia'!B10+'💰 Costos y ganancia'!B11+'💰 Costos y ganancia'!B12+'💰 Costos y ganancia'!B13+'🌽 Alimento'!B17*($A9/'🌽 Alimento'!B8))</f>
        <v>-282375</v>
      </c>
      <c r="D9" s="31">
        <f>'💰 Costos y ganancia'!B5*'💰 Costos y ganancia'!B6*30*(1-'💰 Costos y ganancia'!B14)/'💰 Costos y ganancia'!B8*(D$5)-('💰 Costos y ganancia'!B10+'💰 Costos y ganancia'!B11+'💰 Costos y ganancia'!B12+'💰 Costos y ganancia'!B13+'🌽 Alimento'!B17*($A9/'🌽 Alimento'!B8))</f>
        <v>954375</v>
      </c>
      <c r="E9" s="31">
        <f>'💰 Costos y ganancia'!B5*'💰 Costos y ganancia'!B6*30*(1-'💰 Costos y ganancia'!B14)/'💰 Costos y ganancia'!B8*(E$5)-('💰 Costos y ganancia'!B10+'💰 Costos y ganancia'!B11+'💰 Costos y ganancia'!B12+'💰 Costos y ganancia'!B13+'🌽 Alimento'!B17*($A9/'🌽 Alimento'!B8))</f>
        <v>2191125</v>
      </c>
      <c r="F9" s="31">
        <f>'💰 Costos y ganancia'!B5*'💰 Costos y ganancia'!B6*30*(1-'💰 Costos y ganancia'!B14)/'💰 Costos y ganancia'!B8*(F$5)-('💰 Costos y ganancia'!B10+'💰 Costos y ganancia'!B11+'💰 Costos y ganancia'!B12+'💰 Costos y ganancia'!B13+'🌽 Alimento'!B17*($A9/'🌽 Alimento'!B8))</f>
        <v>3427875</v>
      </c>
    </row>
    <row r="10" spans="1:6" x14ac:dyDescent="0.25">
      <c r="A10" s="7">
        <f>'🌽 Alimento'!B8*1.2</f>
        <v>114000</v>
      </c>
      <c r="B10" s="31">
        <f>'💰 Costos y ganancia'!B5*'💰 Costos y ganancia'!B6*30*(1-'💰 Costos y ganancia'!B14)/'💰 Costos y ganancia'!B8*(B$5)-('💰 Costos y ganancia'!B10+'💰 Costos y ganancia'!B11+'💰 Costos y ganancia'!B12+'💰 Costos y ganancia'!B13+'🌽 Alimento'!B17*($A10/'🌽 Alimento'!B8))</f>
        <v>-2338500</v>
      </c>
      <c r="C10" s="31">
        <f>'💰 Costos y ganancia'!B5*'💰 Costos y ganancia'!B6*30*(1-'💰 Costos y ganancia'!B14)/'💰 Costos y ganancia'!B8*(C$5)-('💰 Costos y ganancia'!B10+'💰 Costos y ganancia'!B11+'💰 Costos y ganancia'!B12+'💰 Costos y ganancia'!B13+'🌽 Alimento'!B17*($A10/'🌽 Alimento'!B8))</f>
        <v>-1101750</v>
      </c>
      <c r="D10" s="31">
        <f>'💰 Costos y ganancia'!B5*'💰 Costos y ganancia'!B6*30*(1-'💰 Costos y ganancia'!B14)/'💰 Costos y ganancia'!B8*(D$5)-('💰 Costos y ganancia'!B10+'💰 Costos y ganancia'!B11+'💰 Costos y ganancia'!B12+'💰 Costos y ganancia'!B13+'🌽 Alimento'!B17*($A10/'🌽 Alimento'!B8))</f>
        <v>135000</v>
      </c>
      <c r="E10" s="31">
        <f>'💰 Costos y ganancia'!B5*'💰 Costos y ganancia'!B6*30*(1-'💰 Costos y ganancia'!B14)/'💰 Costos y ganancia'!B8*(E$5)-('💰 Costos y ganancia'!B10+'💰 Costos y ganancia'!B11+'💰 Costos y ganancia'!B12+'💰 Costos y ganancia'!B13+'🌽 Alimento'!B17*($A10/'🌽 Alimento'!B8))</f>
        <v>1371750</v>
      </c>
      <c r="F10" s="31">
        <f>'💰 Costos y ganancia'!B5*'💰 Costos y ganancia'!B6*30*(1-'💰 Costos y ganancia'!B14)/'💰 Costos y ganancia'!B8*(F$5)-('💰 Costos y ganancia'!B10+'💰 Costos y ganancia'!B11+'💰 Costos y ganancia'!B12+'💰 Costos y ganancia'!B13+'🌽 Alimento'!B17*($A10/'🌽 Alimento'!B8))</f>
        <v>2608500</v>
      </c>
    </row>
    <row r="11" spans="1:3" x14ac:dyDescent="0.25"/>
    <row r="12" spans="1:3" x14ac:dyDescent="0.25"/>
    <row r="13" ht="22" customHeight="1" spans="1:3" x14ac:dyDescent="0.25">
      <c r="A13" s="7" t="s">
        <v>126</v>
      </c>
    </row>
    <row r="14" spans="1:3" x14ac:dyDescent="0.25">
      <c r="A14" s="32">
        <v>0.7</v>
      </c>
      <c r="B14" s="31">
        <f>'💰 Costos y ganancia'!B5*A14*30*(1-'💰 Costos y ganancia'!B14)/'💰 Costos y ganancia'!B8*'💰 Costos y ganancia'!B7-'💰 Costos y ganancia'!B19</f>
        <v>-408750</v>
      </c>
    </row>
    <row r="15" spans="1:3" x14ac:dyDescent="0.25">
      <c r="A15" s="32">
        <v>0.75</v>
      </c>
      <c r="B15" s="31">
        <f>'💰 Costos y ganancia'!B5*A15*30*(1-'💰 Costos y ganancia'!B14)/'💰 Costos y ganancia'!B8*'💰 Costos y ganancia'!B7-'💰 Costos y ganancia'!B19</f>
        <v>318750</v>
      </c>
    </row>
    <row r="16" spans="1:3" x14ac:dyDescent="0.25">
      <c r="A16" s="32">
        <v>0.8</v>
      </c>
      <c r="B16" s="31">
        <f>'💰 Costos y ganancia'!B5*A16*30*(1-'💰 Costos y ganancia'!B14)/'💰 Costos y ganancia'!B8*'💰 Costos y ganancia'!B7-'💰 Costos y ganancia'!B19</f>
        <v>1046250</v>
      </c>
    </row>
    <row r="17" spans="1:3" x14ac:dyDescent="0.25">
      <c r="A17" s="32">
        <v>0.85</v>
      </c>
      <c r="B17" s="31">
        <f>'💰 Costos y ganancia'!B5*A17*30*(1-'💰 Costos y ganancia'!B14)/'💰 Costos y ganancia'!B8*'💰 Costos y ganancia'!B7-'💰 Costos y ganancia'!B19</f>
        <v>1773750</v>
      </c>
    </row>
    <row r="18" spans="1:3" x14ac:dyDescent="0.25">
      <c r="A18" s="32">
        <v>0.9</v>
      </c>
      <c r="B18" s="31">
        <f>'💰 Costos y ganancia'!B5*A18*30*(1-'💰 Costos y ganancia'!B14)/'💰 Costos y ganancia'!B8*'💰 Costos y ganancia'!B7-'💰 Costos y ganancia'!B19</f>
        <v>2501250</v>
      </c>
    </row>
    <row r="19" spans="1:3" x14ac:dyDescent="0.25">
      <c r="A19" s="32">
        <v>0.95</v>
      </c>
      <c r="B19" s="31">
        <f>'💰 Costos y ganancia'!B5*A19*30*(1-'💰 Costos y ganancia'!B14)/'💰 Costos y ganancia'!B8*'💰 Costos y ganancia'!B7-'💰 Costos y ganancia'!B19</f>
        <v>3228750</v>
      </c>
    </row>
    <row r="20" spans="1:3" x14ac:dyDescent="0.25"/>
    <row r="21" spans="1:3" x14ac:dyDescent="0.25"/>
    <row r="22" ht="22" customHeight="1" spans="1:3" x14ac:dyDescent="0.25">
      <c r="A22" s="21" t="s">
        <v>63</v>
      </c>
      <c r="B22" s="21"/>
      <c r="C22" s="21"/>
    </row>
  </sheetData>
  <sheetProtection sheet="1"/>
  <mergeCells count="5">
    <mergeCell ref="B1:C1"/>
    <mergeCell ref="A2:B2"/>
    <mergeCell ref="A3:C3"/>
    <mergeCell ref="A4:C4"/>
    <mergeCell ref="A22:C22"/>
  </mergeCell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127</v>
      </c>
      <c r="C1" s="1"/>
      <c r="D1" s="13" t="s">
        <v>48</v>
      </c>
    </row>
    <row r="2" ht="25" customHeight="1" spans="1:3" x14ac:dyDescent="0.25">
      <c r="A2" s="2" t="s">
        <v>128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129</v>
      </c>
      <c r="B5" s="23">
        <v>1000</v>
      </c>
      <c r="C5" s="9" t="s">
        <v>130</v>
      </c>
    </row>
    <row r="6" ht="22" customHeight="1" spans="1:3" x14ac:dyDescent="0.25">
      <c r="A6" s="7" t="s">
        <v>131</v>
      </c>
      <c r="B6" s="23">
        <v>4500</v>
      </c>
      <c r="C6" s="9" t="str">
        <f>'🏠 Inicio'!B8</f>
        <v>COP $</v>
      </c>
    </row>
    <row r="7" ht="22" customHeight="1" spans="1:3" x14ac:dyDescent="0.25">
      <c r="A7" s="7" t="s">
        <v>132</v>
      </c>
      <c r="B7" s="33">
        <v>6.2</v>
      </c>
      <c r="C7" s="9" t="s">
        <v>87</v>
      </c>
    </row>
    <row r="8" ht="22" customHeight="1" spans="1:3" x14ac:dyDescent="0.25">
      <c r="A8" s="7" t="s">
        <v>133</v>
      </c>
      <c r="B8" s="23">
        <v>2600</v>
      </c>
      <c r="C8" s="9" t="str">
        <f>'🏠 Inicio'!B8</f>
        <v>COP $</v>
      </c>
    </row>
    <row r="9" ht="22" customHeight="1" spans="1:3" x14ac:dyDescent="0.25">
      <c r="A9" s="7" t="s">
        <v>134</v>
      </c>
      <c r="B9" s="23">
        <v>1200</v>
      </c>
      <c r="C9" s="9" t="str">
        <f>'🏠 Inicio'!B8</f>
        <v>COP $</v>
      </c>
    </row>
    <row r="10" ht="22" customHeight="1" spans="1:3" x14ac:dyDescent="0.25">
      <c r="A10" s="7" t="s">
        <v>135</v>
      </c>
      <c r="B10" s="23">
        <v>800</v>
      </c>
      <c r="C10" s="9" t="str">
        <f>'🏠 Inicio'!B8</f>
        <v>COP $</v>
      </c>
    </row>
    <row r="11" ht="22" customHeight="1" spans="1:3" x14ac:dyDescent="0.25">
      <c r="A11" s="7" t="s">
        <v>136</v>
      </c>
      <c r="B11" s="29">
        <v>0.04</v>
      </c>
      <c r="C11" s="9" t="s">
        <v>6</v>
      </c>
    </row>
    <row r="12" ht="22" customHeight="1" spans="1:3" x14ac:dyDescent="0.25">
      <c r="A12" s="7" t="s">
        <v>137</v>
      </c>
      <c r="B12" s="8" t="s">
        <v>138</v>
      </c>
      <c r="C12" s="9" t="s">
        <v>6</v>
      </c>
    </row>
    <row r="13" ht="22" customHeight="1" spans="1:3" x14ac:dyDescent="0.25">
      <c r="A13" s="6" t="s">
        <v>74</v>
      </c>
      <c r="B13" s="6"/>
      <c r="C13" s="6"/>
    </row>
    <row r="14" ht="22" customHeight="1" spans="1:3" x14ac:dyDescent="0.25">
      <c r="A14" s="7" t="s">
        <v>139</v>
      </c>
      <c r="B14" s="26">
        <f>B5*(1-B11)</f>
        <v>960</v>
      </c>
      <c r="C14" s="9" t="s">
        <v>130</v>
      </c>
    </row>
    <row r="15" ht="22" customHeight="1" spans="1:3" x14ac:dyDescent="0.25">
      <c r="A15" s="7" t="s">
        <v>140</v>
      </c>
      <c r="B15" s="25">
        <f>B5*B7</f>
        <v>6200</v>
      </c>
      <c r="C15" s="9" t="s">
        <v>80</v>
      </c>
    </row>
    <row r="16" ht="22" customHeight="1" spans="1:3" x14ac:dyDescent="0.25">
      <c r="A16" s="7" t="s">
        <v>141</v>
      </c>
      <c r="B16" s="25">
        <f>B15/40</f>
        <v>155</v>
      </c>
      <c r="C16" s="9" t="s">
        <v>94</v>
      </c>
    </row>
    <row r="17" ht="22" customHeight="1" spans="1:3" x14ac:dyDescent="0.25">
      <c r="A17" s="7" t="s">
        <v>142</v>
      </c>
      <c r="B17" s="26">
        <f>B5*(B6+B7*B8+B9+B10)</f>
        <v>22620000</v>
      </c>
      <c r="C17" s="9" t="str">
        <f>'🏠 Inicio'!B8</f>
        <v>COP $</v>
      </c>
    </row>
    <row r="18" ht="30" customHeight="1" spans="1:3" x14ac:dyDescent="0.25">
      <c r="A18" s="7" t="s">
        <v>57</v>
      </c>
      <c r="B18" s="27">
        <f>IF(B14=0,0,B17/B14)</f>
        <v>23562.5</v>
      </c>
      <c r="C18" s="9" t="str">
        <f>'🏠 Inicio'!B8</f>
        <v>COP $</v>
      </c>
    </row>
    <row r="19" spans="1:3" x14ac:dyDescent="0.25"/>
    <row r="20" ht="22" customHeight="1" spans="1:3" x14ac:dyDescent="0.25">
      <c r="A20" s="21" t="s">
        <v>63</v>
      </c>
      <c r="B20" s="21"/>
      <c r="C20" s="21"/>
    </row>
  </sheetData>
  <sheetProtection sheet="1"/>
  <mergeCells count="6">
    <mergeCell ref="B1:C1"/>
    <mergeCell ref="A2:B2"/>
    <mergeCell ref="A3:C3"/>
    <mergeCell ref="A4:C4"/>
    <mergeCell ref="A13:C13"/>
    <mergeCell ref="A20:C20"/>
  </mergeCells>
  <dataValidations count="4">
    <dataValidation type="decimal" operator="greaterThanOrEqual" showErrorMessage="1" errorTitle="Dato no válido" error="Escribe un número igual o mayor que cero." sqref="B10">
      <formula1>0</formula1>
    </dataValidation>
    <dataValidation type="decimal" showErrorMessage="1" errorTitle="Dato no válido" error="Escribe un porcentaje entre 0 % y 100 %." sqref="B11">
      <formula1>0</formula1>
      <formula2>1</formula2>
    </dataValidation>
    <dataValidation type="list" allowBlank="1" showErrorMessage="1" errorTitle="Dato no válido" error="Elige una opción de la lista." sqref="B12">
      <formula1>"Babcock Brown,Hy-Line Brown,Lohmann Brown,ISA Brown,Hy-Line W-36,Otra"</formula1>
    </dataValidation>
    <dataValidation type="decimal" operator="greaterThanOrEqual" showErrorMessage="1" errorTitle="Dato no válido" error="Escribe un número igual o mayor que cero." sqref="B5:B10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143</v>
      </c>
      <c r="C1" s="1"/>
      <c r="D1" s="13" t="s">
        <v>48</v>
      </c>
    </row>
    <row r="2" ht="25" customHeight="1" spans="1:3" x14ac:dyDescent="0.25">
      <c r="A2" s="2" t="s">
        <v>144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145</v>
      </c>
      <c r="B5" s="23">
        <v>20</v>
      </c>
      <c r="C5" s="9" t="s">
        <v>146</v>
      </c>
    </row>
    <row r="6" ht="22" customHeight="1" spans="1:3" x14ac:dyDescent="0.25">
      <c r="A6" s="7" t="s">
        <v>147</v>
      </c>
      <c r="B6" s="23">
        <v>8</v>
      </c>
      <c r="C6" s="9" t="s">
        <v>146</v>
      </c>
    </row>
    <row r="7" ht="22" customHeight="1" spans="1:3" x14ac:dyDescent="0.25">
      <c r="A7" s="7" t="s">
        <v>148</v>
      </c>
      <c r="B7" s="23">
        <v>6</v>
      </c>
      <c r="C7" s="9" t="s">
        <v>87</v>
      </c>
    </row>
    <row r="8" ht="22" customHeight="1" spans="1:3" x14ac:dyDescent="0.25">
      <c r="A8" s="7" t="s">
        <v>149</v>
      </c>
      <c r="B8" s="23">
        <v>1000</v>
      </c>
      <c r="C8" s="9" t="s">
        <v>68</v>
      </c>
    </row>
    <row r="9" ht="22" customHeight="1" spans="1:3" x14ac:dyDescent="0.25">
      <c r="A9" s="7" t="s">
        <v>150</v>
      </c>
      <c r="B9" s="23">
        <v>10</v>
      </c>
      <c r="C9" s="9" t="s">
        <v>87</v>
      </c>
    </row>
    <row r="10" ht="22" customHeight="1" spans="1:3" x14ac:dyDescent="0.25">
      <c r="A10" s="7" t="s">
        <v>151</v>
      </c>
      <c r="B10" s="23">
        <v>25</v>
      </c>
      <c r="C10" s="9" t="s">
        <v>87</v>
      </c>
    </row>
    <row r="11" ht="22" customHeight="1" spans="1:3" x14ac:dyDescent="0.25">
      <c r="A11" s="7" t="s">
        <v>152</v>
      </c>
      <c r="B11" s="23">
        <v>10</v>
      </c>
      <c r="C11" s="9" t="s">
        <v>87</v>
      </c>
    </row>
    <row r="12" ht="22" customHeight="1" spans="1:3" x14ac:dyDescent="0.25">
      <c r="A12" s="7" t="s">
        <v>153</v>
      </c>
      <c r="B12" s="23">
        <v>100</v>
      </c>
      <c r="C12" s="9" t="s">
        <v>87</v>
      </c>
    </row>
    <row r="13" ht="22" customHeight="1" spans="1:3" x14ac:dyDescent="0.25">
      <c r="A13" s="7" t="s">
        <v>154</v>
      </c>
      <c r="B13" s="23">
        <v>5</v>
      </c>
      <c r="C13" s="9" t="s">
        <v>87</v>
      </c>
    </row>
    <row r="14" ht="22" customHeight="1" spans="1:3" x14ac:dyDescent="0.25">
      <c r="A14" s="7" t="s">
        <v>155</v>
      </c>
      <c r="B14" s="8" t="s">
        <v>156</v>
      </c>
      <c r="C14" s="9" t="s">
        <v>6</v>
      </c>
    </row>
    <row r="15" ht="22" customHeight="1" spans="1:3" x14ac:dyDescent="0.25">
      <c r="A15" s="7" t="s">
        <v>157</v>
      </c>
      <c r="B15" s="23">
        <v>500</v>
      </c>
      <c r="C15" s="9" t="s">
        <v>87</v>
      </c>
    </row>
    <row r="16" ht="22" customHeight="1" spans="1:3" x14ac:dyDescent="0.25">
      <c r="A16" s="6" t="s">
        <v>74</v>
      </c>
      <c r="B16" s="6"/>
      <c r="C16" s="6"/>
    </row>
    <row r="17" ht="22" customHeight="1" spans="1:3" x14ac:dyDescent="0.25">
      <c r="A17" s="7" t="s">
        <v>158</v>
      </c>
      <c r="B17" s="25">
        <f>B5*B6</f>
        <v>160</v>
      </c>
      <c r="C17" s="9" t="s">
        <v>159</v>
      </c>
    </row>
    <row r="18" ht="22" customHeight="1" spans="1:3" x14ac:dyDescent="0.25">
      <c r="A18" s="7" t="s">
        <v>160</v>
      </c>
      <c r="B18" s="25">
        <f>IF(B14="Jaula",IF(B15=0,0,B17*10000/B15),B17*B7)</f>
        <v>960</v>
      </c>
      <c r="C18" s="9" t="s">
        <v>68</v>
      </c>
    </row>
    <row r="19" ht="30" customHeight="1" spans="1:3" x14ac:dyDescent="0.25">
      <c r="A19" s="7" t="s">
        <v>161</v>
      </c>
      <c r="B19" s="34" t="str">
        <f>IF(B8&lt;=B18,"Sí, sobra espacio para "&amp;ROUND(B18-B8,0)&amp;" gallinas","No, te faltan "&amp;ROUND((B8-B18)/IF(B14="Jaula",10000/B15,B7),1)&amp;" m²")</f>
        <v>No, te faltan 6.7 m²</v>
      </c>
      <c r="C19" s="9" t="s">
        <v>6</v>
      </c>
    </row>
    <row r="20" ht="22" customHeight="1" spans="1:3" x14ac:dyDescent="0.25">
      <c r="A20" s="7" t="s">
        <v>162</v>
      </c>
      <c r="B20" s="25">
        <f>B8*B9/100</f>
        <v>100</v>
      </c>
      <c r="C20" s="9" t="s">
        <v>146</v>
      </c>
    </row>
    <row r="21" ht="22" customHeight="1" spans="1:3" x14ac:dyDescent="0.25">
      <c r="A21" s="7" t="s">
        <v>163</v>
      </c>
      <c r="B21" s="26">
        <f>IF(B10=0,0,ROUNDUP(B8/B10,0))</f>
        <v>40</v>
      </c>
      <c r="C21" s="9" t="s">
        <v>164</v>
      </c>
    </row>
    <row r="22" ht="22" customHeight="1" spans="1:3" x14ac:dyDescent="0.25">
      <c r="A22" s="7" t="s">
        <v>165</v>
      </c>
      <c r="B22" s="26">
        <f>IF(B11=0,0,ROUNDUP(B8/B11,0))</f>
        <v>100</v>
      </c>
      <c r="C22" s="9" t="s">
        <v>164</v>
      </c>
    </row>
    <row r="23" ht="22" customHeight="1" spans="1:3" x14ac:dyDescent="0.25">
      <c r="A23" s="7" t="s">
        <v>166</v>
      </c>
      <c r="B23" s="26">
        <f>IF(B12=0,0,ROUNDUP(B8/B12,0))</f>
        <v>10</v>
      </c>
      <c r="C23" s="9" t="s">
        <v>164</v>
      </c>
    </row>
    <row r="24" ht="22" customHeight="1" spans="1:3" x14ac:dyDescent="0.25">
      <c r="A24" s="7" t="s">
        <v>167</v>
      </c>
      <c r="B24" s="26">
        <f>IF(B13=0,0,ROUNDUP(B8/B13,0))</f>
        <v>200</v>
      </c>
      <c r="C24" s="9" t="s">
        <v>164</v>
      </c>
    </row>
    <row r="25" spans="1:3" x14ac:dyDescent="0.25"/>
    <row r="26" ht="22" customHeight="1" spans="1:3" x14ac:dyDescent="0.25">
      <c r="A26" s="21" t="s">
        <v>63</v>
      </c>
      <c r="B26" s="21"/>
      <c r="C26" s="21"/>
    </row>
  </sheetData>
  <sheetProtection sheet="1"/>
  <mergeCells count="6">
    <mergeCell ref="B1:C1"/>
    <mergeCell ref="A2:B2"/>
    <mergeCell ref="A3:C3"/>
    <mergeCell ref="A4:C4"/>
    <mergeCell ref="A16:C16"/>
    <mergeCell ref="A26:C26"/>
  </mergeCells>
  <dataValidations count="4">
    <dataValidation type="decimal" operator="greaterThanOrEqual" showErrorMessage="1" errorTitle="Dato no válido" error="Escribe un número igual o mayor que cero." sqref="B10:B13">
      <formula1>0</formula1>
    </dataValidation>
    <dataValidation type="list" allowBlank="1" showErrorMessage="1" errorTitle="Dato no válido" error="Elige una opción de la lista." sqref="B14">
      <formula1>"Piso,Jaula"</formula1>
    </dataValidation>
    <dataValidation type="decimal" operator="greaterThanOrEqual" showErrorMessage="1" errorTitle="Dato no válido" error="Escribe un número igual o mayor que cero." sqref="B15">
      <formula1>0</formula1>
    </dataValidation>
    <dataValidation type="decimal" operator="greaterThanOrEqual" showErrorMessage="1" errorTitle="Dato no válido" error="Escribe un número igual o mayor que cero." sqref="B5:B13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168</v>
      </c>
      <c r="C1" s="1"/>
      <c r="D1" s="13" t="s">
        <v>48</v>
      </c>
    </row>
    <row r="2" ht="25" customHeight="1" spans="1:3" x14ac:dyDescent="0.25">
      <c r="A2" s="2" t="s">
        <v>169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85</v>
      </c>
      <c r="B5" s="8">
        <f>'🌽 Alimento'!B5</f>
        <v>1000</v>
      </c>
      <c r="C5" s="9" t="s">
        <v>68</v>
      </c>
    </row>
    <row r="6" ht="22" customHeight="1" spans="1:3" x14ac:dyDescent="0.25">
      <c r="A6" s="7" t="s">
        <v>170</v>
      </c>
      <c r="B6" s="8">
        <f>'🌽 Alimento'!B6</f>
        <v>115</v>
      </c>
      <c r="C6" s="9" t="s">
        <v>73</v>
      </c>
    </row>
    <row r="7" ht="22" customHeight="1" spans="1:3" x14ac:dyDescent="0.25">
      <c r="A7" s="7" t="s">
        <v>171</v>
      </c>
      <c r="B7" s="33">
        <v>2</v>
      </c>
      <c r="C7" s="9" t="s">
        <v>172</v>
      </c>
    </row>
    <row r="8" ht="22" customHeight="1" spans="1:3" x14ac:dyDescent="0.25">
      <c r="A8" s="7" t="s">
        <v>173</v>
      </c>
      <c r="B8" s="23">
        <v>2</v>
      </c>
      <c r="C8" s="9" t="s">
        <v>174</v>
      </c>
    </row>
    <row r="9" ht="22" customHeight="1" spans="1:3" x14ac:dyDescent="0.25">
      <c r="A9" s="6" t="s">
        <v>74</v>
      </c>
      <c r="B9" s="6"/>
      <c r="C9" s="6"/>
    </row>
    <row r="10" ht="30" customHeight="1" spans="1:3" x14ac:dyDescent="0.25">
      <c r="A10" s="7" t="s">
        <v>175</v>
      </c>
      <c r="B10" s="34">
        <f>B5*B6/1000*B7</f>
        <v>230</v>
      </c>
      <c r="C10" s="9" t="s">
        <v>176</v>
      </c>
    </row>
    <row r="11" ht="22" customHeight="1" spans="1:3" x14ac:dyDescent="0.25">
      <c r="A11" s="7" t="s">
        <v>177</v>
      </c>
      <c r="B11" s="25">
        <f>IF(B5=0,0,B10/B5)</f>
        <v>0.23</v>
      </c>
      <c r="C11" s="9" t="s">
        <v>176</v>
      </c>
    </row>
    <row r="12" ht="22" customHeight="1" spans="1:3" x14ac:dyDescent="0.25">
      <c r="A12" s="7" t="s">
        <v>178</v>
      </c>
      <c r="B12" s="25">
        <f>B10*B8</f>
        <v>460</v>
      </c>
      <c r="C12" s="9" t="s">
        <v>176</v>
      </c>
    </row>
    <row r="13" spans="1:3" x14ac:dyDescent="0.25"/>
    <row r="14" ht="22" customHeight="1" spans="1:3" x14ac:dyDescent="0.25">
      <c r="A14" s="21" t="s">
        <v>63</v>
      </c>
      <c r="B14" s="21"/>
      <c r="C14" s="21"/>
    </row>
  </sheetData>
  <sheetProtection sheet="1"/>
  <mergeCells count="6">
    <mergeCell ref="B1:C1"/>
    <mergeCell ref="A2:B2"/>
    <mergeCell ref="A3:C3"/>
    <mergeCell ref="A4:C4"/>
    <mergeCell ref="A9:C9"/>
    <mergeCell ref="A14:C14"/>
  </mergeCells>
  <dataValidations count="1">
    <dataValidation type="decimal" operator="greaterThanOrEqual" showErrorMessage="1" errorTitle="Dato no válido" error="Escribe un número igual o mayor que cero." sqref="B5:B8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179</v>
      </c>
      <c r="C1" s="1"/>
      <c r="D1" s="13" t="s">
        <v>48</v>
      </c>
    </row>
    <row r="2" ht="25" customHeight="1" spans="1:3" x14ac:dyDescent="0.25">
      <c r="A2" s="2" t="s">
        <v>180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181</v>
      </c>
      <c r="B5" s="8">
        <f>'💧 Agua'!B10</f>
        <v>230</v>
      </c>
      <c r="C5" s="9" t="s">
        <v>176</v>
      </c>
    </row>
    <row r="6" ht="22" customHeight="1" spans="1:3" x14ac:dyDescent="0.25">
      <c r="A6" s="7" t="s">
        <v>182</v>
      </c>
      <c r="B6" s="23">
        <v>1</v>
      </c>
      <c r="C6" s="9" t="s">
        <v>183</v>
      </c>
    </row>
    <row r="7" ht="22" customHeight="1" spans="1:3" x14ac:dyDescent="0.25">
      <c r="A7" s="7" t="s">
        <v>184</v>
      </c>
      <c r="B7" s="23">
        <v>5</v>
      </c>
      <c r="C7" s="9" t="s">
        <v>174</v>
      </c>
    </row>
    <row r="8" ht="22" customHeight="1" spans="1:3" x14ac:dyDescent="0.25">
      <c r="A8" s="7" t="s">
        <v>185</v>
      </c>
      <c r="B8" s="23">
        <v>500</v>
      </c>
      <c r="C8" s="9" t="s">
        <v>186</v>
      </c>
    </row>
    <row r="9" ht="22" customHeight="1" spans="1:3" x14ac:dyDescent="0.25">
      <c r="A9" s="6" t="s">
        <v>74</v>
      </c>
      <c r="B9" s="6"/>
      <c r="C9" s="6"/>
    </row>
    <row r="10" ht="30" customHeight="1" spans="1:3" x14ac:dyDescent="0.25">
      <c r="A10" s="7" t="s">
        <v>187</v>
      </c>
      <c r="B10" s="34">
        <f>B5*B6</f>
        <v>230</v>
      </c>
      <c r="C10" s="9" t="s">
        <v>186</v>
      </c>
    </row>
    <row r="11" ht="22" customHeight="1" spans="1:3" x14ac:dyDescent="0.25">
      <c r="A11" s="7" t="s">
        <v>188</v>
      </c>
      <c r="B11" s="25">
        <f>B10*B7</f>
        <v>1150</v>
      </c>
      <c r="C11" s="9" t="s">
        <v>186</v>
      </c>
    </row>
    <row r="12" ht="22" customHeight="1" spans="1:3" x14ac:dyDescent="0.25">
      <c r="A12" s="7" t="s">
        <v>189</v>
      </c>
      <c r="B12" s="25">
        <f>IF(B8=0,0,ROUNDUP(B11/B8,0))</f>
        <v>3</v>
      </c>
      <c r="C12" s="9" t="s">
        <v>164</v>
      </c>
    </row>
    <row r="13" ht="22" customHeight="1" spans="1:3" x14ac:dyDescent="0.25">
      <c r="A13" s="6" t="s">
        <v>190</v>
      </c>
      <c r="B13" s="6"/>
      <c r="C13" s="6"/>
    </row>
    <row r="14" ht="22" customHeight="1" spans="1:3" x14ac:dyDescent="0.25">
      <c r="A14" s="7" t="s">
        <v>191</v>
      </c>
      <c r="B14" s="33">
        <v>10</v>
      </c>
      <c r="C14" s="9" t="s">
        <v>192</v>
      </c>
    </row>
    <row r="15" ht="22" customHeight="1" spans="1:3" x14ac:dyDescent="0.25">
      <c r="A15" s="7" t="s">
        <v>193</v>
      </c>
      <c r="B15" s="33">
        <v>1.9</v>
      </c>
      <c r="C15" s="9" t="s">
        <v>80</v>
      </c>
    </row>
    <row r="16" ht="22" customHeight="1" spans="1:3" x14ac:dyDescent="0.25">
      <c r="A16" s="7" t="s">
        <v>85</v>
      </c>
      <c r="B16" s="23">
        <v>1000</v>
      </c>
      <c r="C16" s="9" t="s">
        <v>68</v>
      </c>
    </row>
    <row r="17" ht="22" customHeight="1" spans="1:3" x14ac:dyDescent="0.25">
      <c r="A17" s="7" t="s">
        <v>194</v>
      </c>
      <c r="B17" s="23">
        <v>100</v>
      </c>
      <c r="C17" s="9" t="s">
        <v>195</v>
      </c>
    </row>
    <row r="18" ht="22" customHeight="1" spans="1:3" x14ac:dyDescent="0.25">
      <c r="A18" s="6" t="s">
        <v>196</v>
      </c>
      <c r="B18" s="6"/>
      <c r="C18" s="6"/>
    </row>
    <row r="19" ht="22" customHeight="1" spans="1:3" x14ac:dyDescent="0.25">
      <c r="A19" s="7" t="s">
        <v>197</v>
      </c>
      <c r="B19" s="25">
        <f>B14*B15*B16</f>
        <v>19000</v>
      </c>
      <c r="C19" s="9" t="s">
        <v>198</v>
      </c>
    </row>
    <row r="20" ht="22" customHeight="1" spans="1:3" x14ac:dyDescent="0.25">
      <c r="A20" s="7" t="s">
        <v>199</v>
      </c>
      <c r="B20" s="25">
        <f>IF(B17=0,0,B19/B17)</f>
        <v>190</v>
      </c>
      <c r="C20" s="9" t="s">
        <v>186</v>
      </c>
    </row>
    <row r="21" ht="22" customHeight="1" spans="1:3" x14ac:dyDescent="0.25">
      <c r="A21" s="7" t="s">
        <v>200</v>
      </c>
      <c r="B21" s="25">
        <f>IF(B5=0,0,B20/B5)</f>
        <v>0.826086956521739</v>
      </c>
      <c r="C21" s="9" t="s">
        <v>183</v>
      </c>
    </row>
    <row r="22" spans="1:3" x14ac:dyDescent="0.25"/>
    <row r="23" ht="22" customHeight="1" spans="1:3" x14ac:dyDescent="0.25">
      <c r="A23" s="21" t="s">
        <v>63</v>
      </c>
      <c r="B23" s="21"/>
      <c r="C23" s="21"/>
    </row>
  </sheetData>
  <sheetProtection sheet="1"/>
  <mergeCells count="8">
    <mergeCell ref="B1:C1"/>
    <mergeCell ref="A2:B2"/>
    <mergeCell ref="A3:C3"/>
    <mergeCell ref="A4:C4"/>
    <mergeCell ref="A9:C9"/>
    <mergeCell ref="A13:C13"/>
    <mergeCell ref="A18:C18"/>
    <mergeCell ref="A23:C23"/>
  </mergeCells>
  <dataValidations count="2">
    <dataValidation type="decimal" operator="greaterThanOrEqual" showErrorMessage="1" errorTitle="Dato no válido" error="Escribe un número igual o mayor que cero." sqref="B14:B17">
      <formula1>0</formula1>
    </dataValidation>
    <dataValidation type="decimal" operator="greaterThanOrEqual" showErrorMessage="1" errorTitle="Dato no válido" error="Escribe un número igual o mayor que cero." sqref="B5:B8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201</v>
      </c>
      <c r="C1" s="1"/>
      <c r="D1" s="13" t="s">
        <v>48</v>
      </c>
    </row>
    <row r="2" ht="25" customHeight="1" spans="1:3" x14ac:dyDescent="0.25">
      <c r="A2" s="2" t="s">
        <v>202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203</v>
      </c>
      <c r="B5" s="35">
        <v>8.5</v>
      </c>
      <c r="C5" s="9" t="s">
        <v>204</v>
      </c>
    </row>
    <row r="6" ht="22" customHeight="1" spans="1:3" x14ac:dyDescent="0.25">
      <c r="A6" s="7" t="s">
        <v>205</v>
      </c>
      <c r="B6" s="23">
        <v>46</v>
      </c>
      <c r="C6" s="9" t="s">
        <v>206</v>
      </c>
    </row>
    <row r="7" ht="22" customHeight="1" spans="1:3" x14ac:dyDescent="0.25">
      <c r="A7" s="7" t="s">
        <v>207</v>
      </c>
      <c r="B7" s="23">
        <v>17</v>
      </c>
      <c r="C7" s="9" t="s">
        <v>208</v>
      </c>
    </row>
    <row r="8" ht="22" customHeight="1" spans="1:3" x14ac:dyDescent="0.25">
      <c r="A8" s="7" t="s">
        <v>209</v>
      </c>
      <c r="B8" s="23">
        <v>100</v>
      </c>
      <c r="C8" s="9" t="s">
        <v>80</v>
      </c>
    </row>
    <row r="9" ht="22" customHeight="1" spans="1:3" x14ac:dyDescent="0.25">
      <c r="A9" s="6" t="s">
        <v>74</v>
      </c>
      <c r="B9" s="6"/>
      <c r="C9" s="6"/>
    </row>
    <row r="10" ht="22" customHeight="1" spans="1:3" x14ac:dyDescent="0.25">
      <c r="A10" s="7" t="s">
        <v>210</v>
      </c>
      <c r="B10" s="25">
        <f>ABS(B6-B7)</f>
        <v>29</v>
      </c>
      <c r="C10" s="9" t="s">
        <v>211</v>
      </c>
    </row>
    <row r="11" ht="22" customHeight="1" spans="1:3" x14ac:dyDescent="0.25">
      <c r="A11" s="7" t="s">
        <v>212</v>
      </c>
      <c r="B11" s="25">
        <f>ABS(B5-B7)</f>
        <v>8.5</v>
      </c>
      <c r="C11" s="9" t="s">
        <v>211</v>
      </c>
    </row>
    <row r="12" ht="22" customHeight="1" spans="1:3" x14ac:dyDescent="0.25">
      <c r="A12" s="7" t="s">
        <v>213</v>
      </c>
      <c r="B12" s="30">
        <f>IF(B10+B11=0,0,B10/(B10+B11))</f>
        <v>0.773333333333333</v>
      </c>
      <c r="C12" s="9" t="s">
        <v>6</v>
      </c>
    </row>
    <row r="13" ht="22" customHeight="1" spans="1:3" x14ac:dyDescent="0.25">
      <c r="A13" s="7" t="s">
        <v>214</v>
      </c>
      <c r="B13" s="30">
        <f>IF(B10+B11=0,0,B11/(B10+B11))</f>
        <v>0.226666666666667</v>
      </c>
      <c r="C13" s="9" t="s">
        <v>6</v>
      </c>
    </row>
    <row r="14" ht="30" customHeight="1" spans="1:3" x14ac:dyDescent="0.25">
      <c r="A14" s="7" t="s">
        <v>215</v>
      </c>
      <c r="B14" s="34">
        <f>B12*B8</f>
        <v>77.3333333333333</v>
      </c>
      <c r="C14" s="9" t="s">
        <v>80</v>
      </c>
    </row>
    <row r="15" ht="22" customHeight="1" spans="1:3" x14ac:dyDescent="0.25">
      <c r="A15" s="7" t="s">
        <v>216</v>
      </c>
      <c r="B15" s="25">
        <f>B13*B8</f>
        <v>22.6666666666667</v>
      </c>
      <c r="C15" s="9" t="s">
        <v>80</v>
      </c>
    </row>
    <row r="16" ht="22" customHeight="1" spans="1:3" x14ac:dyDescent="0.25">
      <c r="A16" s="7" t="s">
        <v>217</v>
      </c>
      <c r="B16" s="25" t="str">
        <f>IF(OR(B7&lt;MIN(B5,B6),B7&gt;MAX(B5,B6)),"El objetivo debe estar entre la proteína de A y la de B","Mezcla válida")</f>
        <v>Mezcla válida</v>
      </c>
      <c r="C16" s="9" t="s">
        <v>6</v>
      </c>
    </row>
    <row r="17" spans="1:3" x14ac:dyDescent="0.25"/>
    <row r="18" ht="22" customHeight="1" spans="1:3" x14ac:dyDescent="0.25">
      <c r="A18" s="21" t="s">
        <v>63</v>
      </c>
      <c r="B18" s="21"/>
      <c r="C18" s="21"/>
    </row>
  </sheetData>
  <sheetProtection sheet="1"/>
  <mergeCells count="6">
    <mergeCell ref="B1:C1"/>
    <mergeCell ref="A2:B2"/>
    <mergeCell ref="A3:C3"/>
    <mergeCell ref="A4:C4"/>
    <mergeCell ref="A9:C9"/>
    <mergeCell ref="A18:C18"/>
  </mergeCells>
  <dataValidations count="1">
    <dataValidation type="decimal" operator="greaterThanOrEqual" showErrorMessage="1" errorTitle="Dato no válido" error="Escribe un número igual o mayor que cero." sqref="B5:B8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218</v>
      </c>
      <c r="C1" s="1"/>
      <c r="D1" s="13" t="s">
        <v>48</v>
      </c>
    </row>
    <row r="2" ht="25" customHeight="1" spans="1:3" x14ac:dyDescent="0.25">
      <c r="A2" s="2" t="s">
        <v>219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220</v>
      </c>
      <c r="B5" s="23">
        <v>16</v>
      </c>
      <c r="C5" s="9" t="s">
        <v>221</v>
      </c>
    </row>
    <row r="6" ht="22" customHeight="1" spans="1:3" x14ac:dyDescent="0.25">
      <c r="A6" s="7" t="s">
        <v>222</v>
      </c>
      <c r="B6" s="23">
        <v>12</v>
      </c>
      <c r="C6" s="9" t="s">
        <v>223</v>
      </c>
    </row>
    <row r="7" ht="22" customHeight="1" spans="1:3" x14ac:dyDescent="0.25">
      <c r="A7" s="7" t="s">
        <v>224</v>
      </c>
      <c r="B7" s="23">
        <v>10</v>
      </c>
      <c r="C7" s="9" t="s">
        <v>164</v>
      </c>
    </row>
    <row r="8" ht="22" customHeight="1" spans="1:3" x14ac:dyDescent="0.25">
      <c r="A8" s="7" t="s">
        <v>225</v>
      </c>
      <c r="B8" s="23">
        <v>9</v>
      </c>
      <c r="C8" s="9" t="s">
        <v>226</v>
      </c>
    </row>
    <row r="9" ht="22" customHeight="1" spans="1:3" x14ac:dyDescent="0.25">
      <c r="A9" s="7" t="s">
        <v>227</v>
      </c>
      <c r="B9" s="23">
        <v>900</v>
      </c>
      <c r="C9" s="9" t="str">
        <f>'🏠 Inicio'!B8</f>
        <v>COP $</v>
      </c>
    </row>
    <row r="10" ht="22" customHeight="1" spans="1:3" x14ac:dyDescent="0.25">
      <c r="A10" s="6" t="s">
        <v>74</v>
      </c>
      <c r="B10" s="6"/>
      <c r="C10" s="6"/>
    </row>
    <row r="11" ht="30" customHeight="1" spans="1:3" x14ac:dyDescent="0.25">
      <c r="A11" s="7" t="s">
        <v>228</v>
      </c>
      <c r="B11" s="34">
        <f>MAX(0,B5-B6)</f>
        <v>4</v>
      </c>
      <c r="C11" s="9" t="s">
        <v>229</v>
      </c>
    </row>
    <row r="12" ht="22" customHeight="1" spans="1:3" x14ac:dyDescent="0.25">
      <c r="A12" s="7" t="s">
        <v>230</v>
      </c>
      <c r="B12" s="25">
        <f>B7*B8*B11/1000</f>
        <v>0.36</v>
      </c>
      <c r="C12" s="9" t="s">
        <v>231</v>
      </c>
    </row>
    <row r="13" ht="22" customHeight="1" spans="1:3" x14ac:dyDescent="0.25">
      <c r="A13" s="7" t="s">
        <v>232</v>
      </c>
      <c r="B13" s="26">
        <f>B12*B9</f>
        <v>324</v>
      </c>
      <c r="C13" s="9" t="str">
        <f>'🏠 Inicio'!B8</f>
        <v>COP $</v>
      </c>
    </row>
    <row r="14" ht="22" customHeight="1" spans="1:3" x14ac:dyDescent="0.25">
      <c r="A14" s="7" t="s">
        <v>233</v>
      </c>
      <c r="B14" s="26">
        <f>B13*30</f>
        <v>9720</v>
      </c>
      <c r="C14" s="9" t="str">
        <f>'🏠 Inicio'!B8</f>
        <v>COP $</v>
      </c>
    </row>
    <row r="15" spans="1:3" x14ac:dyDescent="0.25"/>
    <row r="16" ht="22" customHeight="1" spans="1:3" x14ac:dyDescent="0.25">
      <c r="A16" s="21" t="s">
        <v>63</v>
      </c>
      <c r="B16" s="21"/>
      <c r="C16" s="21"/>
    </row>
  </sheetData>
  <sheetProtection sheet="1"/>
  <mergeCells count="6">
    <mergeCell ref="B1:C1"/>
    <mergeCell ref="A2:B2"/>
    <mergeCell ref="A3:C3"/>
    <mergeCell ref="A4:C4"/>
    <mergeCell ref="A10:C10"/>
    <mergeCell ref="A16:C16"/>
  </mergeCells>
  <dataValidations count="1">
    <dataValidation type="decimal" operator="greaterThanOrEqual" showErrorMessage="1" errorTitle="Dato no válido" error="Escribe un número igual o mayor que cero." sqref="B5:B9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234</v>
      </c>
      <c r="C1" s="1"/>
      <c r="D1" s="13" t="s">
        <v>48</v>
      </c>
    </row>
    <row r="2" ht="25" customHeight="1" spans="1:3" x14ac:dyDescent="0.25">
      <c r="A2" s="2" t="s">
        <v>235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236</v>
      </c>
      <c r="B5" s="23">
        <v>1000</v>
      </c>
      <c r="C5" s="9" t="s">
        <v>68</v>
      </c>
    </row>
    <row r="6" ht="22" customHeight="1" spans="1:3" x14ac:dyDescent="0.25">
      <c r="A6" s="7" t="s">
        <v>237</v>
      </c>
      <c r="B6" s="23">
        <v>3</v>
      </c>
      <c r="C6" s="9" t="s">
        <v>68</v>
      </c>
    </row>
    <row r="7" ht="22" customHeight="1" spans="1:3" x14ac:dyDescent="0.25">
      <c r="A7" s="7" t="s">
        <v>238</v>
      </c>
      <c r="B7" s="23">
        <v>45</v>
      </c>
      <c r="C7" s="9" t="s">
        <v>68</v>
      </c>
    </row>
    <row r="8" ht="22" customHeight="1" spans="1:3" x14ac:dyDescent="0.25">
      <c r="A8" s="6" t="s">
        <v>74</v>
      </c>
      <c r="B8" s="6"/>
      <c r="C8" s="6"/>
    </row>
    <row r="9" ht="22" customHeight="1" spans="1:3" x14ac:dyDescent="0.25">
      <c r="A9" s="7" t="s">
        <v>239</v>
      </c>
      <c r="B9" s="30">
        <f>IF(B5=0,0,B6/B5)</f>
        <v>0.003</v>
      </c>
      <c r="C9" s="9" t="s">
        <v>6</v>
      </c>
    </row>
    <row r="10" ht="30" customHeight="1" spans="1:3" x14ac:dyDescent="0.25">
      <c r="A10" s="7" t="s">
        <v>240</v>
      </c>
      <c r="B10" s="24">
        <f>IF(B5=0,0,B7/B5)</f>
        <v>0.045</v>
      </c>
      <c r="C10" s="9" t="s">
        <v>6</v>
      </c>
    </row>
    <row r="11" ht="22" customHeight="1" spans="1:3" x14ac:dyDescent="0.25">
      <c r="A11" s="7" t="s">
        <v>241</v>
      </c>
      <c r="B11" s="26">
        <f>MAX(0,B5-B7)</f>
        <v>955</v>
      </c>
      <c r="C11" s="9" t="s">
        <v>68</v>
      </c>
    </row>
    <row r="12" ht="22" customHeight="1" spans="1:3" x14ac:dyDescent="0.25">
      <c r="A12" s="7" t="s">
        <v>242</v>
      </c>
      <c r="B12" s="30">
        <f>IF(B5=0,0,(B5-B7)/B5)</f>
        <v>0.955</v>
      </c>
      <c r="C12" s="9" t="s">
        <v>6</v>
      </c>
    </row>
    <row r="13" spans="1:3" x14ac:dyDescent="0.25"/>
    <row r="14" ht="22" customHeight="1" spans="1:3" x14ac:dyDescent="0.25">
      <c r="A14" s="21" t="s">
        <v>63</v>
      </c>
      <c r="B14" s="21"/>
      <c r="C14" s="21"/>
    </row>
  </sheetData>
  <sheetProtection sheet="1"/>
  <mergeCells count="6">
    <mergeCell ref="B1:C1"/>
    <mergeCell ref="A2:B2"/>
    <mergeCell ref="A3:C3"/>
    <mergeCell ref="A4:C4"/>
    <mergeCell ref="A8:C8"/>
    <mergeCell ref="A14:C14"/>
  </mergeCells>
  <dataValidations count="1">
    <dataValidation type="decimal" operator="greaterThanOrEqual" showErrorMessage="1" errorTitle="Dato no válido" error="Escribe un número igual o mayor que cero." sqref="B5:B7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243</v>
      </c>
      <c r="C1" s="1"/>
      <c r="D1" s="13" t="s">
        <v>48</v>
      </c>
    </row>
    <row r="2" ht="25" customHeight="1" spans="1:3" x14ac:dyDescent="0.25">
      <c r="A2" s="2" t="s">
        <v>244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245</v>
      </c>
      <c r="B5" s="23">
        <v>1000</v>
      </c>
      <c r="C5" s="9" t="s">
        <v>68</v>
      </c>
    </row>
    <row r="6" ht="22" customHeight="1" spans="1:3" x14ac:dyDescent="0.25">
      <c r="A6" s="7" t="s">
        <v>246</v>
      </c>
      <c r="B6" s="23">
        <v>60</v>
      </c>
      <c r="C6" s="9" t="s">
        <v>247</v>
      </c>
    </row>
    <row r="7" ht="22" customHeight="1" spans="1:3" x14ac:dyDescent="0.25">
      <c r="A7" s="7" t="s">
        <v>248</v>
      </c>
      <c r="B7" s="29">
        <v>0.83</v>
      </c>
      <c r="C7" s="9" t="s">
        <v>6</v>
      </c>
    </row>
    <row r="8" ht="22" customHeight="1" spans="1:3" x14ac:dyDescent="0.25">
      <c r="A8" s="7" t="s">
        <v>249</v>
      </c>
      <c r="B8" s="29">
        <v>0.08</v>
      </c>
      <c r="C8" s="9" t="s">
        <v>6</v>
      </c>
    </row>
    <row r="9" ht="22" customHeight="1" spans="1:3" x14ac:dyDescent="0.25">
      <c r="A9" s="7" t="s">
        <v>250</v>
      </c>
      <c r="B9" s="23">
        <v>15000</v>
      </c>
      <c r="C9" s="9" t="str">
        <f>'🏠 Inicio'!B8</f>
        <v>COP $</v>
      </c>
    </row>
    <row r="10" ht="22" customHeight="1" spans="1:3" x14ac:dyDescent="0.25">
      <c r="A10" s="7" t="s">
        <v>71</v>
      </c>
      <c r="B10" s="23">
        <v>30</v>
      </c>
      <c r="C10" s="9" t="s">
        <v>70</v>
      </c>
    </row>
    <row r="11" ht="22" customHeight="1" spans="1:3" x14ac:dyDescent="0.25">
      <c r="A11" s="7" t="s">
        <v>137</v>
      </c>
      <c r="B11" s="8" t="s">
        <v>138</v>
      </c>
      <c r="C11" s="9" t="s">
        <v>6</v>
      </c>
    </row>
    <row r="12" ht="22" customHeight="1" spans="1:3" x14ac:dyDescent="0.25">
      <c r="A12" s="6" t="s">
        <v>74</v>
      </c>
      <c r="B12" s="6"/>
      <c r="C12" s="6"/>
    </row>
    <row r="13" ht="22" customHeight="1" spans="1:3" x14ac:dyDescent="0.25">
      <c r="A13" s="7" t="s">
        <v>251</v>
      </c>
      <c r="B13" s="26">
        <f>B5*(1-B8/2)</f>
        <v>960</v>
      </c>
      <c r="C13" s="9" t="s">
        <v>68</v>
      </c>
    </row>
    <row r="14" ht="22" customHeight="1" spans="1:3" x14ac:dyDescent="0.25">
      <c r="A14" s="7" t="s">
        <v>252</v>
      </c>
      <c r="B14" s="26">
        <f>B13*B6*7*B7</f>
        <v>334656</v>
      </c>
      <c r="C14" s="9" t="s">
        <v>70</v>
      </c>
    </row>
    <row r="15" ht="22" customHeight="1" spans="1:3" x14ac:dyDescent="0.25">
      <c r="A15" s="7" t="s">
        <v>253</v>
      </c>
      <c r="B15" s="25">
        <f>IF(B10=0,0,B14/B10)</f>
        <v>11155.2</v>
      </c>
      <c r="C15" s="9" t="s">
        <v>77</v>
      </c>
    </row>
    <row r="16" ht="30" customHeight="1" spans="1:3" x14ac:dyDescent="0.25">
      <c r="A16" s="7" t="s">
        <v>254</v>
      </c>
      <c r="B16" s="27">
        <f>B15*B9</f>
        <v>167328000</v>
      </c>
      <c r="C16" s="9" t="str">
        <f>'🏠 Inicio'!B8</f>
        <v>COP $</v>
      </c>
    </row>
    <row r="17" ht="22" customHeight="1" spans="1:3" x14ac:dyDescent="0.25">
      <c r="A17" s="7" t="s">
        <v>255</v>
      </c>
      <c r="B17" s="26">
        <f>IF(B5=0,0,B14/B5)</f>
        <v>334.656</v>
      </c>
      <c r="C17" s="9" t="s">
        <v>70</v>
      </c>
    </row>
    <row r="18" spans="1:3" x14ac:dyDescent="0.25"/>
    <row r="19" ht="22" customHeight="1" spans="1:3" x14ac:dyDescent="0.25">
      <c r="A19" s="21" t="s">
        <v>63</v>
      </c>
      <c r="B19" s="21"/>
      <c r="C19" s="21"/>
    </row>
  </sheetData>
  <sheetProtection sheet="1"/>
  <mergeCells count="6">
    <mergeCell ref="B1:C1"/>
    <mergeCell ref="A2:B2"/>
    <mergeCell ref="A3:C3"/>
    <mergeCell ref="A4:C4"/>
    <mergeCell ref="A12:C12"/>
    <mergeCell ref="A19:C19"/>
  </mergeCells>
  <dataValidations count="5">
    <dataValidation type="decimal" operator="greaterThanOrEqual" showErrorMessage="1" errorTitle="Dato no válido" error="Escribe un número igual o mayor que cero." sqref="B10">
      <formula1>0</formula1>
    </dataValidation>
    <dataValidation type="list" allowBlank="1" showErrorMessage="1" errorTitle="Dato no válido" error="Elige una opción de la lista." sqref="B11">
      <formula1>"Babcock Brown,Hy-Line Brown,Lohmann Brown,ISA Brown,Hy-Line W-36,Otra"</formula1>
    </dataValidation>
    <dataValidation type="decimal" operator="greaterThanOrEqual" showErrorMessage="1" errorTitle="Dato no válido" error="Escribe un número igual o mayor que cero." sqref="B5:B6">
      <formula1>0</formula1>
    </dataValidation>
    <dataValidation type="decimal" showErrorMessage="1" errorTitle="Dato no válido" error="Escribe un porcentaje entre 0 % y 100 %." sqref="B7:B8">
      <formula1>0</formula1>
      <formula2>1</formula2>
    </dataValidation>
    <dataValidation type="decimal" operator="greaterThanOrEqual" showErrorMessage="1" errorTitle="Dato no válido" error="Escribe un número igual o mayor que cero." sqref="B9:B10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F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256</v>
      </c>
      <c r="C1" s="1"/>
      <c r="D1" s="13" t="s">
        <v>48</v>
      </c>
    </row>
    <row r="2" ht="25" customHeight="1" spans="1:3" x14ac:dyDescent="0.25">
      <c r="A2" s="2" t="s">
        <v>257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6" x14ac:dyDescent="0.25">
      <c r="A5" s="7" t="s">
        <v>258</v>
      </c>
      <c r="B5" s="7" t="s">
        <v>259</v>
      </c>
      <c r="C5" s="7" t="s">
        <v>250</v>
      </c>
      <c r="D5" s="7" t="s">
        <v>260</v>
      </c>
      <c r="E5" s="7" t="s">
        <v>208</v>
      </c>
      <c r="F5" s="7" t="s">
        <v>261</v>
      </c>
    </row>
    <row r="6" ht="22" customHeight="1" spans="1:6" x14ac:dyDescent="0.25">
      <c r="A6" s="7" t="s">
        <v>262</v>
      </c>
      <c r="B6" s="36">
        <v>20</v>
      </c>
      <c r="C6" s="36">
        <v>21000</v>
      </c>
      <c r="D6" s="11" t="s">
        <v>263</v>
      </c>
      <c r="E6" s="37">
        <f>IF(SUM(B6:B11)=0,0,B6/SUM(B6:B11))</f>
        <v>0.0229885057471264</v>
      </c>
      <c r="F6" s="38">
        <f>IF(B6=0,0,B6/30*C6)</f>
        <v>14000</v>
      </c>
    </row>
    <row r="7" ht="22" customHeight="1" spans="1:6" x14ac:dyDescent="0.25">
      <c r="A7" s="7" t="s">
        <v>264</v>
      </c>
      <c r="B7" s="36">
        <v>180</v>
      </c>
      <c r="C7" s="36">
        <v>18000</v>
      </c>
      <c r="D7" s="11" t="s">
        <v>265</v>
      </c>
      <c r="E7" s="37">
        <f>IF(SUM(B6:B11)=0,0,B7/SUM(B6:B11))</f>
        <v>0.206896551724138</v>
      </c>
      <c r="F7" s="38">
        <f>IF(B7=0,0,B7/30*C7)</f>
        <v>108000</v>
      </c>
    </row>
    <row r="8" ht="22" customHeight="1" spans="1:6" x14ac:dyDescent="0.25">
      <c r="A8" s="7" t="s">
        <v>266</v>
      </c>
      <c r="B8" s="36">
        <v>400</v>
      </c>
      <c r="C8" s="36">
        <v>16000</v>
      </c>
      <c r="D8" s="11" t="s">
        <v>267</v>
      </c>
      <c r="E8" s="37">
        <f>IF(SUM(B6:B11)=0,0,B8/SUM(B6:B11))</f>
        <v>0.459770114942529</v>
      </c>
      <c r="F8" s="38">
        <f>IF(B8=0,0,B8/30*C8)</f>
        <v>213333.333333333</v>
      </c>
    </row>
    <row r="9" ht="22" customHeight="1" spans="1:6" x14ac:dyDescent="0.25">
      <c r="A9" s="7" t="s">
        <v>268</v>
      </c>
      <c r="B9" s="36">
        <v>200</v>
      </c>
      <c r="C9" s="36">
        <v>14000</v>
      </c>
      <c r="D9" s="11" t="s">
        <v>269</v>
      </c>
      <c r="E9" s="37">
        <f>IF(SUM(B6:B11)=0,0,B9/SUM(B6:B11))</f>
        <v>0.229885057471264</v>
      </c>
      <c r="F9" s="38">
        <f>IF(B9=0,0,B9/30*C9)</f>
        <v>93333.3333333333</v>
      </c>
    </row>
    <row r="10" ht="22" customHeight="1" spans="1:6" x14ac:dyDescent="0.25">
      <c r="A10" s="7" t="s">
        <v>270</v>
      </c>
      <c r="B10" s="36">
        <v>50</v>
      </c>
      <c r="C10" s="36">
        <v>12000</v>
      </c>
      <c r="D10" s="11" t="s">
        <v>271</v>
      </c>
      <c r="E10" s="37">
        <f>IF(SUM(B6:B11)=0,0,B10/SUM(B6:B11))</f>
        <v>0.0574712643678161</v>
      </c>
      <c r="F10" s="38">
        <f>IF(B10=0,0,B10/30*C10)</f>
        <v>20000</v>
      </c>
    </row>
    <row r="11" ht="22" customHeight="1" spans="1:6" x14ac:dyDescent="0.25">
      <c r="A11" s="7" t="s">
        <v>272</v>
      </c>
      <c r="B11" s="36">
        <v>20</v>
      </c>
      <c r="C11" s="36">
        <v>10000</v>
      </c>
      <c r="D11" s="11" t="s">
        <v>273</v>
      </c>
      <c r="E11" s="37">
        <f>IF(SUM(B6:B11)=0,0,B11/SUM(B6:B11))</f>
        <v>0.0229885057471264</v>
      </c>
      <c r="F11" s="38">
        <f>IF(B11=0,0,B11/30*C11)</f>
        <v>6666.66666666667</v>
      </c>
    </row>
    <row r="12" ht="22" customHeight="1" spans="1:3" x14ac:dyDescent="0.25">
      <c r="A12" s="7" t="s">
        <v>274</v>
      </c>
      <c r="B12" s="7">
        <f>SUM(B6:B11)</f>
        <v>870</v>
      </c>
      <c r="C12" s="7" t="s">
        <v>275</v>
      </c>
    </row>
    <row r="13" ht="30" customHeight="1" spans="1:3" x14ac:dyDescent="0.25">
      <c r="A13" s="7" t="s">
        <v>276</v>
      </c>
      <c r="B13" s="39">
        <f>SUM(F6:F11)</f>
        <v>455333.333333333</v>
      </c>
      <c r="C13" s="40" t="str">
        <f>'🏠 Inicio'!B8</f>
        <v>COP $</v>
      </c>
    </row>
    <row r="14" ht="22" customHeight="1" spans="1:3" x14ac:dyDescent="0.25">
      <c r="A14" s="7" t="s">
        <v>277</v>
      </c>
      <c r="B14" s="7">
        <f>IF(B12=0,0,B13/B12)</f>
        <v>523.371647509579</v>
      </c>
      <c r="C14" s="40" t="str">
        <f>'🏠 Inicio'!B8</f>
        <v>COP $</v>
      </c>
    </row>
    <row r="15" spans="1:3" x14ac:dyDescent="0.25"/>
    <row r="16" ht="22" customHeight="1" spans="1:3" x14ac:dyDescent="0.25">
      <c r="A16" s="7" t="s">
        <v>278</v>
      </c>
      <c r="B16" s="36">
        <v>63</v>
      </c>
    </row>
    <row r="17" ht="22" customHeight="1" spans="1:3" x14ac:dyDescent="0.25">
      <c r="A17" s="7" t="s">
        <v>258</v>
      </c>
      <c r="B17" s="7" t="str">
        <f>IF(B16&gt;=78,"Jumbo",IF(B16&gt;=67,"AAA",IF(B16&gt;=60,"AA",IF(B16&gt;=53,"A",IF(B16&gt;=46,"B","C")))))</f>
        <v>AA</v>
      </c>
    </row>
    <row r="18" spans="1:3" x14ac:dyDescent="0.25"/>
    <row r="19" spans="1:3" x14ac:dyDescent="0.25"/>
    <row r="20" ht="22" customHeight="1" spans="1:3" x14ac:dyDescent="0.25">
      <c r="A20" s="21" t="s">
        <v>63</v>
      </c>
      <c r="B20" s="21"/>
      <c r="C20" s="21"/>
    </row>
  </sheetData>
  <sheetProtection sheet="1"/>
  <mergeCells count="5">
    <mergeCell ref="B1:C1"/>
    <mergeCell ref="A2:B2"/>
    <mergeCell ref="A3:C3"/>
    <mergeCell ref="A4:C4"/>
    <mergeCell ref="A20:C20"/>
  </mergeCells>
  <dataValidations count="2">
    <dataValidation type="decimal" operator="greaterThanOrEqual" showErrorMessage="1" error="Escribe un número igual o mayor que cero." sqref="B10:C11">
      <formula1>0</formula1>
    </dataValidation>
    <dataValidation type="decimal" operator="greaterThanOrEqual" showErrorMessage="1" error="Escribe un número igual o mayor que cero." sqref="B6:C11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2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279</v>
      </c>
      <c r="C1" s="1"/>
      <c r="D1" s="13" t="s">
        <v>48</v>
      </c>
    </row>
    <row r="2" ht="25" customHeight="1" spans="1:3" x14ac:dyDescent="0.25">
      <c r="A2" s="2" t="s">
        <v>280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281</v>
      </c>
      <c r="B5" s="36">
        <v>870</v>
      </c>
      <c r="C5" s="7" t="s">
        <v>282</v>
      </c>
    </row>
    <row r="6" ht="22" customHeight="1" spans="1:3" x14ac:dyDescent="0.25">
      <c r="A6" s="7" t="s">
        <v>283</v>
      </c>
      <c r="B6" s="41">
        <f>B5/30</f>
        <v>29</v>
      </c>
    </row>
    <row r="7" spans="1:3" x14ac:dyDescent="0.25"/>
    <row r="8" ht="22" customHeight="1" spans="1:3" x14ac:dyDescent="0.25">
      <c r="A8" s="7" t="s">
        <v>253</v>
      </c>
      <c r="B8" s="36">
        <v>29</v>
      </c>
      <c r="C8" s="7" t="s">
        <v>284</v>
      </c>
    </row>
    <row r="9" ht="22" customHeight="1" spans="1:3" x14ac:dyDescent="0.25">
      <c r="A9" s="7" t="s">
        <v>283</v>
      </c>
      <c r="B9" s="41">
        <f>B8*30</f>
        <v>870</v>
      </c>
    </row>
    <row r="10" spans="1:3" x14ac:dyDescent="0.25"/>
    <row r="11" ht="22" customHeight="1" spans="1:3" x14ac:dyDescent="0.25">
      <c r="A11" s="7" t="s">
        <v>281</v>
      </c>
      <c r="B11" s="36">
        <v>870</v>
      </c>
      <c r="C11" s="7" t="s">
        <v>285</v>
      </c>
    </row>
    <row r="12" ht="22" customHeight="1" spans="1:3" x14ac:dyDescent="0.25">
      <c r="A12" s="7" t="s">
        <v>283</v>
      </c>
      <c r="B12" s="41">
        <f>B11/12</f>
        <v>72.5</v>
      </c>
    </row>
    <row r="13" spans="1:3" x14ac:dyDescent="0.25"/>
    <row r="14" ht="22" customHeight="1" spans="1:3" x14ac:dyDescent="0.25">
      <c r="A14" s="7" t="s">
        <v>286</v>
      </c>
      <c r="B14" s="36">
        <v>100</v>
      </c>
      <c r="C14" s="7" t="s">
        <v>287</v>
      </c>
    </row>
    <row r="15" ht="22" customHeight="1" spans="1:3" x14ac:dyDescent="0.25">
      <c r="A15" s="7" t="s">
        <v>283</v>
      </c>
      <c r="B15" s="41">
        <f>B14/0.5</f>
        <v>200</v>
      </c>
    </row>
    <row r="16" spans="1:3" x14ac:dyDescent="0.25"/>
    <row r="17" ht="22" customHeight="1" spans="1:3" x14ac:dyDescent="0.25">
      <c r="A17" s="7" t="s">
        <v>286</v>
      </c>
      <c r="B17" s="36">
        <v>100</v>
      </c>
      <c r="C17" s="7" t="s">
        <v>288</v>
      </c>
    </row>
    <row r="18" ht="22" customHeight="1" spans="1:3" x14ac:dyDescent="0.25">
      <c r="A18" s="7" t="s">
        <v>283</v>
      </c>
      <c r="B18" s="41">
        <f>B17/12.5</f>
        <v>8</v>
      </c>
    </row>
    <row r="19" spans="1:3" x14ac:dyDescent="0.25"/>
    <row r="20" ht="22" customHeight="1" spans="1:3" x14ac:dyDescent="0.25">
      <c r="A20" s="7" t="s">
        <v>286</v>
      </c>
      <c r="B20" s="36">
        <v>115</v>
      </c>
      <c r="C20" s="7" t="s">
        <v>289</v>
      </c>
    </row>
    <row r="21" ht="22" customHeight="1" spans="1:3" x14ac:dyDescent="0.25">
      <c r="A21" s="7" t="s">
        <v>283</v>
      </c>
      <c r="B21" s="41">
        <f>B20/40</f>
        <v>2.875</v>
      </c>
    </row>
    <row r="22" spans="1:3" x14ac:dyDescent="0.25"/>
    <row r="23" ht="22" customHeight="1" spans="1:3" x14ac:dyDescent="0.25">
      <c r="A23" s="7" t="s">
        <v>290</v>
      </c>
      <c r="B23" s="36">
        <v>115</v>
      </c>
      <c r="C23" s="7" t="s">
        <v>291</v>
      </c>
    </row>
    <row r="24" ht="22" customHeight="1" spans="1:3" x14ac:dyDescent="0.25">
      <c r="A24" s="7" t="s">
        <v>283</v>
      </c>
      <c r="B24" s="41">
        <f>B23*1000/1000</f>
        <v>115</v>
      </c>
    </row>
    <row r="25" spans="1:3" x14ac:dyDescent="0.25"/>
    <row r="26" spans="1:3" x14ac:dyDescent="0.25"/>
    <row r="27" ht="22" customHeight="1" spans="1:3" x14ac:dyDescent="0.25">
      <c r="A27" s="21" t="s">
        <v>63</v>
      </c>
      <c r="B27" s="21"/>
      <c r="C27" s="21"/>
    </row>
  </sheetData>
  <sheetProtection sheet="1"/>
  <mergeCells count="5">
    <mergeCell ref="B1:C1"/>
    <mergeCell ref="A2:B2"/>
    <mergeCell ref="A3:C3"/>
    <mergeCell ref="A4:C4"/>
    <mergeCell ref="A27:C27"/>
  </mergeCell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292</v>
      </c>
      <c r="C1" s="1"/>
      <c r="D1" s="13" t="s">
        <v>48</v>
      </c>
    </row>
    <row r="2" ht="25" customHeight="1" spans="1:3" x14ac:dyDescent="0.25">
      <c r="A2" s="2" t="s">
        <v>293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294</v>
      </c>
      <c r="B5" s="23">
        <v>15000000</v>
      </c>
      <c r="C5" s="9" t="str">
        <f>'🏠 Inicio'!B8</f>
        <v>COP $</v>
      </c>
    </row>
    <row r="6" ht="22" customHeight="1" spans="1:3" x14ac:dyDescent="0.25">
      <c r="A6" s="7" t="s">
        <v>295</v>
      </c>
      <c r="B6" s="23">
        <v>4000000</v>
      </c>
      <c r="C6" s="9" t="str">
        <f>'🏠 Inicio'!B8</f>
        <v>COP $</v>
      </c>
    </row>
    <row r="7" ht="22" customHeight="1" spans="1:3" x14ac:dyDescent="0.25">
      <c r="A7" s="7" t="s">
        <v>296</v>
      </c>
      <c r="B7" s="23">
        <f>'🐣 Levante'!B17</f>
        <v>22620000</v>
      </c>
      <c r="C7" s="9" t="s">
        <v>297</v>
      </c>
    </row>
    <row r="8" ht="22" customHeight="1" spans="1:3" x14ac:dyDescent="0.25">
      <c r="A8" s="7" t="s">
        <v>298</v>
      </c>
      <c r="B8" s="23">
        <v>3000000</v>
      </c>
      <c r="C8" s="9" t="str">
        <f>'🏠 Inicio'!B8</f>
        <v>COP $</v>
      </c>
    </row>
    <row r="9" ht="22" customHeight="1" spans="1:3" x14ac:dyDescent="0.25">
      <c r="A9" s="7" t="s">
        <v>299</v>
      </c>
      <c r="B9" s="23">
        <f>'💰 Costos y ganancia'!B20</f>
        <v>1773750</v>
      </c>
      <c r="C9" s="9" t="str">
        <f>'🏠 Inicio'!B8</f>
        <v>COP $</v>
      </c>
    </row>
    <row r="10" ht="22" customHeight="1" spans="1:3" x14ac:dyDescent="0.25">
      <c r="A10" s="6" t="s">
        <v>74</v>
      </c>
      <c r="B10" s="6"/>
      <c r="C10" s="6"/>
    </row>
    <row r="11" ht="22" customHeight="1" spans="1:3" x14ac:dyDescent="0.25">
      <c r="A11" s="7" t="s">
        <v>300</v>
      </c>
      <c r="B11" s="26">
        <f>SUM(B5:B8)</f>
        <v>44620000</v>
      </c>
      <c r="C11" s="9" t="str">
        <f>'🏠 Inicio'!B8</f>
        <v>COP $</v>
      </c>
    </row>
    <row r="12" ht="30" customHeight="1" spans="1:3" x14ac:dyDescent="0.25">
      <c r="A12" s="7" t="s">
        <v>301</v>
      </c>
      <c r="B12" s="34">
        <f>IF(B9&lt;=0,"No se recupera con esta ganancia",B11/B9)</f>
        <v>25.1557434813249</v>
      </c>
      <c r="C12" s="9" t="s">
        <v>302</v>
      </c>
    </row>
    <row r="13" ht="22" customHeight="1" spans="1:3" x14ac:dyDescent="0.25">
      <c r="A13" s="7" t="s">
        <v>303</v>
      </c>
      <c r="B13" s="30">
        <f>IF(B11=0,0,B9*12/B11)</f>
        <v>0.477028238458091</v>
      </c>
      <c r="C13" s="9" t="s">
        <v>6</v>
      </c>
    </row>
    <row r="14" spans="1:3" x14ac:dyDescent="0.25"/>
    <row r="15" ht="22" customHeight="1" spans="1:3" x14ac:dyDescent="0.25">
      <c r="A15" s="21" t="s">
        <v>63</v>
      </c>
      <c r="B15" s="21"/>
      <c r="C15" s="21"/>
    </row>
  </sheetData>
  <sheetProtection sheet="1"/>
  <mergeCells count="6">
    <mergeCell ref="B1:C1"/>
    <mergeCell ref="A2:B2"/>
    <mergeCell ref="A3:C3"/>
    <mergeCell ref="A4:C4"/>
    <mergeCell ref="A10:C10"/>
    <mergeCell ref="A15:C15"/>
  </mergeCells>
  <dataValidations count="1">
    <dataValidation type="decimal" operator="greaterThanOrEqual" showErrorMessage="1" errorTitle="Dato no válido" error="Escribe un número igual o mayor que cero." sqref="B5:B9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1C1C"/>
    <pageSetUpPr fitToPage="1"/>
  </sheetPr>
  <dimension ref="A1:D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52" customWidth="1"/>
    <col min="4" max="4" width="24" customWidth="1"/>
  </cols>
  <sheetData>
    <row r="1" ht="40" customHeight="1" spans="2:4" x14ac:dyDescent="0.25">
      <c r="B1" s="1" t="s">
        <v>304</v>
      </c>
      <c r="C1" s="1"/>
      <c r="D1" s="13" t="s">
        <v>48</v>
      </c>
    </row>
    <row r="2" ht="25" customHeight="1" spans="1:3" x14ac:dyDescent="0.25">
      <c r="A2" s="2" t="s">
        <v>305</v>
      </c>
      <c r="B2" s="2"/>
      <c r="C2" s="3" t="str">
        <f>"Granja: "&amp;'🏠 Inicio'!B6&amp;" · Moneda: "&amp;'🏠 Inicio'!B8</f>
        <v>Granja: Mi granja · Moneda: COP $</v>
      </c>
    </row>
    <row r="3" ht="4" customHeight="1" spans="1:3" x14ac:dyDescent="0.25">
      <c r="A3" s="4"/>
      <c r="B3" s="4"/>
      <c r="C3" s="4"/>
    </row>
    <row r="4" ht="22" customHeight="1" spans="1:3" x14ac:dyDescent="0.25">
      <c r="A4" s="22" t="s">
        <v>66</v>
      </c>
      <c r="B4" s="22"/>
      <c r="C4" s="22"/>
    </row>
    <row r="5" ht="22" customHeight="1" spans="1:3" x14ac:dyDescent="0.25">
      <c r="A5" s="7" t="s">
        <v>306</v>
      </c>
      <c r="B5" s="23">
        <v>920</v>
      </c>
      <c r="C5" s="9" t="s">
        <v>68</v>
      </c>
    </row>
    <row r="6" ht="22" customHeight="1" spans="1:3" x14ac:dyDescent="0.25">
      <c r="A6" s="7" t="s">
        <v>307</v>
      </c>
      <c r="B6" s="33">
        <v>1.9</v>
      </c>
      <c r="C6" s="9" t="s">
        <v>80</v>
      </c>
    </row>
    <row r="7" ht="22" customHeight="1" spans="1:3" x14ac:dyDescent="0.25">
      <c r="A7" s="7" t="s">
        <v>308</v>
      </c>
      <c r="B7" s="23">
        <v>6500</v>
      </c>
      <c r="C7" s="9" t="str">
        <f>'🏠 Inicio'!B8</f>
        <v>COP $</v>
      </c>
    </row>
    <row r="8" ht="22" customHeight="1" spans="1:3" x14ac:dyDescent="0.25">
      <c r="A8" s="6" t="s">
        <v>74</v>
      </c>
      <c r="B8" s="6"/>
      <c r="C8" s="6"/>
    </row>
    <row r="9" ht="22" customHeight="1" spans="1:3" x14ac:dyDescent="0.25">
      <c r="A9" s="7" t="s">
        <v>309</v>
      </c>
      <c r="B9" s="25">
        <f>B5*B6</f>
        <v>1748</v>
      </c>
      <c r="C9" s="9" t="s">
        <v>80</v>
      </c>
    </row>
    <row r="10" ht="30" customHeight="1" spans="1:3" x14ac:dyDescent="0.25">
      <c r="A10" s="7" t="s">
        <v>310</v>
      </c>
      <c r="B10" s="27">
        <f>B9*B7</f>
        <v>11362000</v>
      </c>
      <c r="C10" s="9" t="str">
        <f>'🏠 Inicio'!B8</f>
        <v>COP $</v>
      </c>
    </row>
    <row r="11" ht="22" customHeight="1" spans="1:3" x14ac:dyDescent="0.25">
      <c r="A11" s="7" t="s">
        <v>311</v>
      </c>
      <c r="B11" s="26">
        <f>IF(B5=0,0,B10/B5)</f>
        <v>12350</v>
      </c>
      <c r="C11" s="9" t="str">
        <f>'🏠 Inicio'!B8</f>
        <v>COP $</v>
      </c>
    </row>
    <row r="12" spans="1:3" x14ac:dyDescent="0.25"/>
    <row r="13" ht="22" customHeight="1" spans="1:3" x14ac:dyDescent="0.25">
      <c r="A13" s="21" t="s">
        <v>63</v>
      </c>
      <c r="B13" s="21"/>
      <c r="C13" s="21"/>
    </row>
  </sheetData>
  <sheetProtection sheet="1"/>
  <mergeCells count="6">
    <mergeCell ref="B1:C1"/>
    <mergeCell ref="A2:B2"/>
    <mergeCell ref="A3:C3"/>
    <mergeCell ref="A4:C4"/>
    <mergeCell ref="A8:C8"/>
    <mergeCell ref="A13:C13"/>
  </mergeCells>
  <dataValidations count="1">
    <dataValidation type="decimal" operator="greaterThanOrEqual" showErrorMessage="1" errorTitle="Dato no válido" error="Escribe un número igual o mayor que cero." sqref="B5:B7">
      <formula1>0</formula1>
    </dataValidation>
  </dataValidations>
  <hyperlinks>
    <hyperlink ref="D1" r:id="rId1" location="#'🏠 Inicio'!A1"/>
  </hyperlinks>
  <pageMargins left="0.25" right="0.25" top="0.35" bottom="0.35" header="0.1" footer="0.1"/>
  <pageSetup paperSize="9" orientation="portrait" fitToWidth="1" fitToHeight="0"/>
  <headerFooter>
    <oddFooter>&amp;CCalculadora RM · RM Agroinversiones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🏠 Inicio</vt:lpstr>
      <vt:lpstr>📈 Panel</vt:lpstr>
      <vt:lpstr>🥚 Producción</vt:lpstr>
      <vt:lpstr>🌽 Alimento</vt:lpstr>
      <vt:lpstr>💰 Costos y ganancia</vt:lpstr>
      <vt:lpstr>🔮 Simulador</vt:lpstr>
      <vt:lpstr>🐣 Levante</vt:lpstr>
      <vt:lpstr>📐 Espacio y equipos</vt:lpstr>
      <vt:lpstr>💧 Agua</vt:lpstr>
      <vt:lpstr>💊 Medicamento en agua</vt:lpstr>
      <vt:lpstr>⚖️ Mezcla de alimento</vt:lpstr>
      <vt:lpstr>💡 Luz</vt:lpstr>
      <vt:lpstr>📉 Mortalidad</vt:lpstr>
      <vt:lpstr>📅 Proyección del lote</vt:lpstr>
      <vt:lpstr>🔠 Clasificación del huevo</vt:lpstr>
      <vt:lpstr>🔁 Conversiones</vt:lpstr>
      <vt:lpstr>🏦 Inversión y retorno</vt:lpstr>
      <vt:lpstr>🐔 Gallina de descarte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Agroinversiones</dc:creator>
  <dc:title/>
  <dc:subject>Calculadora para gallinas ponedoras</dc:subject>
  <dc:description/>
  <cp:keywords/>
  <cp:category/>
  <cp:lastModifiedBy>Unknown</cp:lastModifiedBy>
  <dcterms:created xsi:type="dcterms:W3CDTF">2026-10-21T17:44:27Z</dcterms:created>
  <dcterms:modified xsi:type="dcterms:W3CDTF">2026-10-21T17:44:27Z</dcterms:modified>
</cp:coreProperties>
</file>